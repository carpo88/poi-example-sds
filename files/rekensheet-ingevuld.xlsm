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autoCompressPictures="0"/>
  <bookViews>
    <workbookView xWindow="-15" yWindow="180" windowWidth="18525" windowHeight="7800" tabRatio="948" activeTab="4"/>
  </bookViews>
  <sheets>
    <sheet name="setup" sheetId="1" r:id="rId1"/>
    <sheet name="statistics" sheetId="17" r:id="rId2"/>
    <sheet name="deelnemers" sheetId="16" r:id="rId3"/>
    <sheet name="extractie-dln" sheetId="18" r:id="rId4"/>
    <sheet name="deelberekening" sheetId="99" r:id="rId5"/>
    <sheet name="Opzet_confrontatie" sheetId="100" r:id="rId6"/>
    <sheet name="extractie-npr-op-rente" sheetId="13" r:id="rId7"/>
    <sheet name="extractie-npr-op-indicatief" sheetId="94" r:id="rId8"/>
    <sheet name="extractie-npr-op-alleenstaanden" sheetId="93" r:id="rId9"/>
    <sheet name="extractie-npr-pp-rente" sheetId="95" r:id="rId10"/>
    <sheet name="extractie-npr-pp-indicatief" sheetId="96" r:id="rId11"/>
    <sheet name="extractie-npr-wzp-rente" sheetId="97" r:id="rId12"/>
    <sheet name="extractie-npr-wzp-indicatief" sheetId="98" r:id="rId13"/>
    <sheet name="code-tabel-referentie" sheetId="25" r:id="rId14"/>
    <sheet name="28928_Rknwrdn_lgmn_FUT" sheetId="209" r:id="rId15"/>
    <sheet name="21489_AOW_lftjd" sheetId="258" r:id="rId16"/>
    <sheet name="23795_Brnchrgnst_grpn_DTL" sheetId="259" r:id="rId17"/>
    <sheet name="23783_CAO_grpn_DTL" sheetId="260" r:id="rId18"/>
    <sheet name="24423_Cd_rbdsvrhdng_DTL" sheetId="261" r:id="rId19"/>
    <sheet name="24531_DTL_nkp_Mxd_67_OP_70PP" sheetId="262" r:id="rId20"/>
    <sheet name="24532_DTL_nkp_Vrjwllg_67_OP_70" sheetId="263" r:id="rId21"/>
    <sheet name="24528_Flx_LOP_65_DTL" sheetId="264" r:id="rId22"/>
    <sheet name="24526_Flx_LOP_67_DTL" sheetId="265" r:id="rId23"/>
    <sheet name="26863_Flx_PREP_DTL" sheetId="266" r:id="rId24"/>
    <sheet name="24561_Hg_DTL_1" sheetId="267" r:id="rId25"/>
    <sheet name="24570_Hg_DTL_10" sheetId="268" r:id="rId26"/>
    <sheet name="24580_Hg_DTL_108" sheetId="269" r:id="rId27"/>
    <sheet name="24571_Hg_DTL_11" sheetId="270" r:id="rId28"/>
    <sheet name="24572_Hg_DTL_12" sheetId="271" r:id="rId29"/>
    <sheet name="24581_Hg_DTL_120" sheetId="272" r:id="rId30"/>
    <sheet name="24582_Hg_DTL_132" sheetId="273" r:id="rId31"/>
    <sheet name="24583_Hg_DTL_144" sheetId="274" r:id="rId32"/>
    <sheet name="24562_Hg_DTL_2" sheetId="275" r:id="rId33"/>
    <sheet name="24573_Hg_DTL_24" sheetId="276" r:id="rId34"/>
    <sheet name="24563_Hg_DTL_3" sheetId="277" r:id="rId35"/>
    <sheet name="24574_Hg_DTL_36" sheetId="278" r:id="rId36"/>
    <sheet name="24564_Hg_DTL_4" sheetId="279" r:id="rId37"/>
    <sheet name="24575_Hg_DTL_48" sheetId="280" r:id="rId38"/>
    <sheet name="24565_Hg_DTL_5" sheetId="281" r:id="rId39"/>
    <sheet name="24566_Hg_DTL_6" sheetId="282" r:id="rId40"/>
    <sheet name="24576_Hg_DTL_60" sheetId="283" r:id="rId41"/>
    <sheet name="24567_Hg_DTL_7" sheetId="284" r:id="rId42"/>
    <sheet name="24577_Hg_DTL_72" sheetId="285" r:id="rId43"/>
    <sheet name="24568_Hg_DTL_8" sheetId="286" r:id="rId44"/>
    <sheet name="24578_Hg_DTL_84" sheetId="287" r:id="rId45"/>
    <sheet name="24569_Hg_DTL_9" sheetId="288" r:id="rId46"/>
    <sheet name="24579_Hg_DTL_96" sheetId="289" r:id="rId47"/>
    <sheet name="25025_Inkp_Optk_100_70_DTL" sheetId="290" r:id="rId48"/>
    <sheet name="25028_Inkp_Optk_DTL" sheetId="291" r:id="rId49"/>
    <sheet name="24503_Lg_DTL_1" sheetId="292" r:id="rId50"/>
    <sheet name="24512_Lg_DTL_10" sheetId="293" r:id="rId51"/>
    <sheet name="24522_Lg_DTL_108" sheetId="294" r:id="rId52"/>
    <sheet name="24513_Lg_DTL_11" sheetId="295" r:id="rId53"/>
    <sheet name="24514_Lg_DTL_12" sheetId="296" r:id="rId54"/>
    <sheet name="24523_Lg_DTL_120" sheetId="297" r:id="rId55"/>
    <sheet name="24524_Lg_DTL_132" sheetId="298" r:id="rId56"/>
    <sheet name="24525_Lg_DTL_144" sheetId="299" r:id="rId57"/>
    <sheet name="24504_Lg_DTL_2" sheetId="300" r:id="rId58"/>
    <sheet name="24515_Lg_DTL_24" sheetId="301" r:id="rId59"/>
    <sheet name="24505_Lg_DTL_3" sheetId="302" r:id="rId60"/>
    <sheet name="24516_Lg_DTL_36" sheetId="303" r:id="rId61"/>
    <sheet name="24506_Lg_DTL_4" sheetId="304" r:id="rId62"/>
    <sheet name="24517_Lg_DTL_48" sheetId="305" r:id="rId63"/>
    <sheet name="24507_Lg_DTL_5" sheetId="306" r:id="rId64"/>
    <sheet name="24508_Lg_DTL_6" sheetId="307" r:id="rId65"/>
    <sheet name="24518_Lg_DTL_60" sheetId="308" r:id="rId66"/>
    <sheet name="24509_Lg_DTL_7" sheetId="309" r:id="rId67"/>
    <sheet name="24519_Lg_DTL_72" sheetId="310" r:id="rId68"/>
    <sheet name="24510_Lg_DTL_8" sheetId="311" r:id="rId69"/>
    <sheet name="24520_Lg_DTL_84" sheetId="312" r:id="rId70"/>
    <sheet name="24511_Lg_DTL_9" sheetId="313" r:id="rId71"/>
    <sheet name="24521_Lg_DTL_96" sheetId="314" r:id="rId72"/>
    <sheet name="24424_Nrmrn_CAO_DTL" sheetId="315" r:id="rId73"/>
    <sheet name="26864_Omzttng_PREP_LOP65_DTL" sheetId="316" r:id="rId74"/>
    <sheet name="26865_Omzttng_PREP_LOP67_DTL" sheetId="317" r:id="rId75"/>
    <sheet name="28763_Rknwrdn_lgmn_FUT" sheetId="318" r:id="rId76"/>
    <sheet name="24533_TOP_t_OP_nggn_DTL_780" sheetId="319" r:id="rId77"/>
    <sheet name="24534_TOP_t_OP_nggn_DTL_781" sheetId="320" r:id="rId78"/>
    <sheet name="24535_TOP_t_OP_nggn_DTL_782" sheetId="321" r:id="rId79"/>
    <sheet name="24536_TOP_t_OP_nggn_DTL_783" sheetId="322" r:id="rId80"/>
    <sheet name="24537_TOP_t_OP_nggn_DTL_784" sheetId="323" r:id="rId81"/>
    <sheet name="24538_TOP_t_OP_nggn_DTL_785" sheetId="324" r:id="rId82"/>
    <sheet name="24539_TOP_t_OP_nggn_DTL_786" sheetId="325" r:id="rId83"/>
    <sheet name="24540_TOP_t_OP_nggn_DTL_787" sheetId="326" r:id="rId84"/>
    <sheet name="24541_TOP_t_OP_nggn_DTL_788" sheetId="327" r:id="rId85"/>
    <sheet name="24542_TOP_t_OP_nggn_DTL_789" sheetId="328" r:id="rId86"/>
    <sheet name="24543_TOP_t_OP_nggn_DTL_790" sheetId="329" r:id="rId87"/>
    <sheet name="24544_TOP_t_OP_nggn_DTL_791" sheetId="330" r:id="rId88"/>
    <sheet name="24545_TOP_t_OP_nggn_DTL_792" sheetId="331" r:id="rId89"/>
    <sheet name="24546_TOP_t_OP_nggn_DTL_793" sheetId="332" r:id="rId90"/>
    <sheet name="24547_TOP_t_OP_nggn_DTL_794" sheetId="333" r:id="rId91"/>
    <sheet name="24548_TOP_t_OP_nggn_DTL_795" sheetId="334" r:id="rId92"/>
    <sheet name="24549_TOP_t_OP_nggn_DTL_796" sheetId="335" r:id="rId93"/>
    <sheet name="24550_TOP_t_OP_nggn_DTL_797" sheetId="336" r:id="rId94"/>
    <sheet name="24551_TOP_t_OP_nggn_DTL_798" sheetId="337" r:id="rId95"/>
    <sheet name="24552_TOP_t_OP_nggn_DTL_799" sheetId="338" r:id="rId96"/>
    <sheet name="24553_TOP_t_OP_nggn_DTL_800" sheetId="339" r:id="rId97"/>
    <sheet name="24554_TOP_t_OP_nggn_DTL_801" sheetId="340" r:id="rId98"/>
    <sheet name="24555_TOP_t_OP_nggn_DTL_802" sheetId="341" r:id="rId99"/>
    <sheet name="24556_TOP_t_OP_nggn_DTL_803" sheetId="342" r:id="rId100"/>
    <sheet name="24557_TOP_t_OP_nggn_DTL_804" sheetId="343" r:id="rId101"/>
    <sheet name="24558_TOP_t_OP_nggn_DTL_805" sheetId="344" r:id="rId102"/>
    <sheet name="28025_TOP_t_OP_nggn_DTL_806" sheetId="345" r:id="rId103"/>
    <sheet name="28026_TOP_t_OP_nggn_DTL_807" sheetId="346" r:id="rId104"/>
    <sheet name="28027_TOP_t_OP_nggn_DTL_808" sheetId="347" r:id="rId105"/>
    <sheet name="28028_TOP_t_OP_nggn_DTL_809" sheetId="348" r:id="rId106"/>
    <sheet name="28029_TOP_t_OP_nggn_DTL_810" sheetId="349" r:id="rId107"/>
    <sheet name="28030_TOP_t_OP_nggn_DTL_811" sheetId="350" r:id="rId108"/>
    <sheet name="28031_TOP_t_OP_nggn_DTL_812" sheetId="351" r:id="rId109"/>
    <sheet name="28032_TOP_t_OP_nggn_DTL_813" sheetId="352" r:id="rId110"/>
    <sheet name="28033_TOP_t_OP_nggn_DTL_814" sheetId="353" r:id="rId111"/>
    <sheet name="28034_TOP_t_OP_nggn_DTL_815" sheetId="354" r:id="rId112"/>
    <sheet name="28035_TOP_t_OP_nggn_DTL_816" sheetId="355" r:id="rId113"/>
    <sheet name="24529_Utrl_OP65_PP_t_dnst_DTL" sheetId="356" r:id="rId114"/>
    <sheet name="24527_Utrl_OP67_PP_t_dnst_DTL" sheetId="357" r:id="rId115"/>
    <sheet name="28036_Utrl_OP_PP_65_DTL" sheetId="358" r:id="rId116"/>
    <sheet name="24559_Utrl_OP_PP_DTL" sheetId="359" r:id="rId117"/>
    <sheet name="24560_Utrl_PP_OP_DTL" sheetId="360" r:id="rId118"/>
    <sheet name="25026_Utrl_PREP_LOP65_DTL" sheetId="361" r:id="rId119"/>
    <sheet name="25027_Utrl_PREP_LOP67_DTL" sheetId="362" r:id="rId120"/>
    <sheet name="24530_Utstlfctr_OP65_OP67_DTL" sheetId="363" r:id="rId121"/>
    <sheet name="25024_WAO_vrtzttng_DTL" sheetId="364" r:id="rId122"/>
    <sheet name="25023_WIA_vrtzttng_DTL" sheetId="365" r:id="rId123"/>
  </sheets>
  <functionGroups builtInGroupCount="17"/>
  <definedNames>
    <definedName name="_xlnm._FilterDatabase" localSheetId="2" hidden="1">deelnemers!$H$3:$U$100</definedName>
    <definedName name="Aantaltijdvakken">deelberekening!$J$95</definedName>
    <definedName name="AOW_datum">deelberekening!$I$10</definedName>
    <definedName name="AOW_jaar">deelberekening!$K$10</definedName>
    <definedName name="AOW_maand">deelberekening!$L$10</definedName>
    <definedName name="AOW_min_2">deelberekening!$I$9</definedName>
    <definedName name="AOW_min_2_jaar">deelberekening!$K$9</definedName>
    <definedName name="AOW_min_2_maand">deelberekening!$L$9</definedName>
    <definedName name="AOW_plus_1">deelberekening!$I$11</definedName>
    <definedName name="AOWplus1_jaar">deelberekening!$K$11</definedName>
    <definedName name="AOWplus1_maand">deelberekening!$L$11</definedName>
    <definedName name="begin_0">'extractie-dln'!$N$24</definedName>
    <definedName name="begin_1">'extractie-dln'!$O$24</definedName>
    <definedName name="begin_2">'extractie-dln'!$P$24</definedName>
    <definedName name="begin_3">'extractie-dln'!$Q$24</definedName>
    <definedName name="begin_4">'extractie-dln'!$R$24</definedName>
    <definedName name="begin_5">'extractie-dln'!$S$24</definedName>
    <definedName name="begin_6">'extractie-dln'!$T$24</definedName>
    <definedName name="begin_7">'extractie-dln'!$U$24</definedName>
    <definedName name="begin_8">'extractie-dln'!$V$24</definedName>
    <definedName name="begin_9">'extractie-dln'!$W$24</definedName>
    <definedName name="BSN">deelberekening!$B$3</definedName>
    <definedName name="Datum_einde_Prep">'extractie-dln'!$I$106</definedName>
    <definedName name="Datum_ingang_Prep">'extractie-dln'!$I$108</definedName>
    <definedName name="Deelnemerstatus_0">'extractie-dln'!$N$27</definedName>
    <definedName name="Deelnemerstatus_1">'extractie-dln'!$O$27</definedName>
    <definedName name="Deelnemerstatus_2">'extractie-dln'!$P$27</definedName>
    <definedName name="Deelnemerstatus_3">'extractie-dln'!$Q$27</definedName>
    <definedName name="Deelnemerstatus_4">'extractie-dln'!$R$27</definedName>
    <definedName name="Deelnemerstatus_5">'extractie-dln'!$S$27</definedName>
    <definedName name="Deelnemerstatus_6">'extractie-dln'!$T$27</definedName>
    <definedName name="Deelnemerstatus_7">'extractie-dln'!$U$27</definedName>
    <definedName name="Deelnemerstatus_8">'extractie-dln'!$V$27</definedName>
    <definedName name="Deelnemerstatus_9">'extractie-dln'!$W$27</definedName>
    <definedName name="Deeltijdfactor">deelberekening!$B$34</definedName>
    <definedName name="Duur">deelberekening!$B$42</definedName>
    <definedName name="Duur_AOW">deelberekening!$B$70</definedName>
    <definedName name="Duur_AOW_min_2">deelberekening!$B$60</definedName>
    <definedName name="Duur_AOW_plus_1">deelberekening!$B$81</definedName>
    <definedName name="DuurVZT">deelberekening!$B$43</definedName>
    <definedName name="DuurVZT_ris">deelberekening!$B$44</definedName>
    <definedName name="einde_0">'extractie-dln'!$N$25</definedName>
    <definedName name="einde_1">'extractie-dln'!$O$25</definedName>
    <definedName name="einde_2">'extractie-dln'!$P$25</definedName>
    <definedName name="einde_3">'extractie-dln'!$Q$25</definedName>
    <definedName name="einde_4">'extractie-dln'!$R$25</definedName>
    <definedName name="einde_5">'extractie-dln'!$S$25</definedName>
    <definedName name="einde_6">'extractie-dln'!$T$25</definedName>
    <definedName name="einde_7">'extractie-dln'!$U$25</definedName>
    <definedName name="einde_8">'extractie-dln'!$V$25</definedName>
    <definedName name="einde_9">'extractie-dln'!$W$25</definedName>
    <definedName name="Excedentgrens">'extractie-dln'!$I$52</definedName>
    <definedName name="Fictieve_opbouw_67_4wk">'extractie-dln'!$I$53</definedName>
    <definedName name="Fictieve_opbouw_67_mnd">'extractie-dln'!$I$54</definedName>
    <definedName name="Fictieve_opbouwexc_67_4wk">'extractie-dln'!$I$71</definedName>
    <definedName name="Fictieve_opbouwexc_67_mnd">'extractie-dln'!$I$72</definedName>
    <definedName name="Fiscaal_max">deelberekening!$B$27</definedName>
    <definedName name="Fiscaal_maximum_0">'extractie-dln'!$N$61</definedName>
    <definedName name="Fiscaal_maximum_1">'extractie-dln'!$O$61</definedName>
    <definedName name="Fiscaal_maximum_2">'extractie-dln'!$P$61</definedName>
    <definedName name="Fiscaal_maximum_3">'extractie-dln'!$Q$61</definedName>
    <definedName name="Fiscaal_maximum_4">'extractie-dln'!$R$61</definedName>
    <definedName name="Fiscaal_maximum_5">'extractie-dln'!$S$61</definedName>
    <definedName name="Fiscaal_maximum_6">'extractie-dln'!$T$61</definedName>
    <definedName name="Fiscaal_maximum_7">'extractie-dln'!$U$61</definedName>
    <definedName name="Fiscaal_maximum_8">'extractie-dln'!$V$61</definedName>
    <definedName name="Fiscaal_maximum_9">'extractie-dln'!$W$61</definedName>
    <definedName name="FLEX_lop_AOW">deelberekening!$B$74</definedName>
    <definedName name="FLEX_lop_aow_plus_1">deelberekening!$B$85</definedName>
    <definedName name="Flex_lop_AOWmin2">deelberekening!$B$64</definedName>
    <definedName name="flex_toegestaan_AOW">deelberekening!$J$10</definedName>
    <definedName name="flex_toegestaan_AOW_min_2">deelberekening!$J$9</definedName>
    <definedName name="flex_toegestaan_AOW_plus_1">deelberekening!$J$11</definedName>
    <definedName name="FoutenTijdvakOPR1">deelberekening!$E$96</definedName>
    <definedName name="FoutentijdvakOPR2">deelberekening!$H$96</definedName>
    <definedName name="FoutenTijdvakOPR3">deelberekening!$K$96</definedName>
    <definedName name="FoutentijdvakOPR4">deelberekening!$N$96</definedName>
    <definedName name="FoutentijdvakPPR1">deelberekening!$E$156</definedName>
    <definedName name="FoutentijdvakPPR2">deelberekening!$H$156</definedName>
    <definedName name="FoutentijdvakPPR3">deelberekening!$K$156</definedName>
    <definedName name="FoutentijdvakPPR4">deelberekening!$N$156</definedName>
    <definedName name="FoutentijdvakWzPR1">deelberekening!$E$176</definedName>
    <definedName name="FoutentijdvakWzPR2">deelberekening!$H$176</definedName>
    <definedName name="FoutentijdvakWzPR3">deelberekening!$K$176</definedName>
    <definedName name="FoutentijdvakWzPR4">deelberekening!$N$176</definedName>
    <definedName name="Franchise">deelberekening!$B$28</definedName>
    <definedName name="Franchise_0">'extractie-dln'!$N$139</definedName>
    <definedName name="Franchise_1">'extractie-dln'!$O$139</definedName>
    <definedName name="Franchise_2">'extractie-dln'!$P$139</definedName>
    <definedName name="Franchise_3">'extractie-dln'!$Q$139</definedName>
    <definedName name="Franchise_4">'extractie-dln'!$R$139</definedName>
    <definedName name="Franchise_5">'extractie-dln'!$S$139</definedName>
    <definedName name="Franchise_6">'extractie-dln'!$T$139</definedName>
    <definedName name="Franchise_7">'extractie-dln'!$U$139</definedName>
    <definedName name="Franchise_8">'extractie-dln'!$V$139</definedName>
    <definedName name="Franchise_9">'extractie-dln'!$W$139</definedName>
    <definedName name="Franchise_extr">'extractie-dln'!$I$33</definedName>
    <definedName name="Geboortedatum">deelberekening!$B$7</definedName>
    <definedName name="Geboortedatum_part">deelberekening!$B$11</definedName>
    <definedName name="Inkoop_Optiek">deelberekening!$B$54</definedName>
    <definedName name="Leeftijdjaar">deelberekening!$J$3</definedName>
    <definedName name="Leeftijdmaand">deelberekening!$J$4</definedName>
    <definedName name="Loon_max_opbouw">'extractie-dln'!$I$68</definedName>
    <definedName name="LOP_65_AOW_opgebouwd">deelberekening!$D$77</definedName>
    <definedName name="LOP_65_AOW_tebereiken">deelberekening!$D$78</definedName>
    <definedName name="LOP_65_AOWmin2_opgebouwd">deelberekening!$D$66</definedName>
    <definedName name="LOP_65_AOWmin2_tebereiken">deelberekening!$D$67</definedName>
    <definedName name="LOP_65_AOWplus1_opgebouwd">deelberekening!$D$88</definedName>
    <definedName name="LOP_65_AOWplus1_tebereiken">deelberekening!$D$89</definedName>
    <definedName name="LOP_67_AOW">deelberekening!$B$78</definedName>
    <definedName name="LOP_67_AOW_opgebouwd">deelberekening!$B$77</definedName>
    <definedName name="LOP_67_AOWmin2">deelberekening!$B$67</definedName>
    <definedName name="LOP_67_AOWmin2_opgebouwd">deelberekening!$B$66</definedName>
    <definedName name="LOP_67_AOWplus1">deelberekening!$B$89</definedName>
    <definedName name="LOP_67_AOWplus1_opgebouwd">deelberekening!$B$88</definedName>
    <definedName name="LOP_middelloon_oud">'extractie-dln'!$I$62</definedName>
    <definedName name="LOP65_Opgebouwd">deelberekening!$D$56</definedName>
    <definedName name="LOP65_tebereiken">deelberekening!$D$57</definedName>
    <definedName name="LOP67_ACT">deelberekening!$B$46</definedName>
    <definedName name="LOP67_ACT_exc">deelberekening!$B$48</definedName>
    <definedName name="LOP67_VTZ">deelberekening!$B$45</definedName>
    <definedName name="LOP67_VZT_exc">deelberekening!$B$47</definedName>
    <definedName name="LPP_risico_excedent_toekomstig">'extractie-dln'!$I$87</definedName>
    <definedName name="LPP_risico_middelloon_toekomstig">'extractie-dln'!$I$86</definedName>
    <definedName name="marge">deelberekening!$D$27</definedName>
    <definedName name="Maxeda_67">deelberekening!$B$51</definedName>
    <definedName name="Maxeda_AOW_min_2">deelberekening!#REF!</definedName>
    <definedName name="Norm_pensioenleeftijd">deelberekening!$E$2</definedName>
    <definedName name="Omgeving">setup!$A$7:$F$15</definedName>
    <definedName name="Omzetting_65_67">deelberekening!$B$53</definedName>
    <definedName name="Omzetting_Prep_LOP">deelberekening!$B$52</definedName>
    <definedName name="Opbouwpercentage">deelberekening!$B$38</definedName>
    <definedName name="Opbouwpercentage_extractie">'extractie-dln'!$I$35</definedName>
    <definedName name="Opgebouwd_67_exc">'extractie-dln'!$I$70</definedName>
    <definedName name="Opgebouwd_exc_67">'extractie-dln'!$I$64</definedName>
    <definedName name="Opgebouwd67">'extractie-dln'!$I$29</definedName>
    <definedName name="OpgebouwdPP">deelberekening!$B$153</definedName>
    <definedName name="OpgebouwdWzP">deelberekening!$F$153</definedName>
    <definedName name="Optiek">deelberekening!$B$49</definedName>
    <definedName name="Optiek_67">deelberekening!$B$49</definedName>
    <definedName name="Optiek_AOW_min_2">deelberekening!#REF!</definedName>
    <definedName name="Parttimepercentage">'extractie-dln'!$I$31</definedName>
    <definedName name="PDTDEV">setup!$A$28:$F$36</definedName>
    <definedName name="PDTREG">setup!$A$39:$F$47</definedName>
    <definedName name="Pensioendatum67">'extractie-dln'!$I$36</definedName>
    <definedName name="Pensioennummer">deelberekening!$B$2</definedName>
    <definedName name="Pensioensalaris">deelberekening!$B$25</definedName>
    <definedName name="Pensioensalaris_exc">deelberekening!$B$26</definedName>
    <definedName name="Pensioensalris_exc">deelberekening!$B$26</definedName>
    <definedName name="PG_ACT">deelberekening!$B$30</definedName>
    <definedName name="PG_ACT_exc">deelberekening!$B$31</definedName>
    <definedName name="PG_AO">'extractie-dln'!$I$38</definedName>
    <definedName name="PG_AO_exc">'extractie-dln'!$I$73</definedName>
    <definedName name="PG_deel">deelberekening!$B$28</definedName>
    <definedName name="PG_vzt_AO">deelberekening!$B$32</definedName>
    <definedName name="PG_vzt_AO_exc">deelberekening!$B$33</definedName>
    <definedName name="PP_excedent">'extractie-dln'!$I$89</definedName>
    <definedName name="PP_middelloon">'extractie-dln'!$I$82</definedName>
    <definedName name="PP_middelloon_0">deelberekening!$C$17</definedName>
    <definedName name="PP_middelloon_oud">'extractie-dln'!$I$88</definedName>
    <definedName name="PPSPRD">setup!$A$50:$F$58</definedName>
    <definedName name="PREP_LOP_AOW">deelberekening!$B$73</definedName>
    <definedName name="PREP_LOP_AOW_min_2">deelberekening!$B$63</definedName>
    <definedName name="PREP_LOP_AOW_plus_1">deelberekening!$B$84</definedName>
    <definedName name="Prep_uitk">'extractie-dln'!$I$107</definedName>
    <definedName name="Prepensioen">'extractie-dln'!$I$105</definedName>
    <definedName name="Rekendatum">deelberekening!$J$2</definedName>
    <definedName name="Salaris_fictief">'extractie-dln'!$I$32</definedName>
    <definedName name="Salaris_fictief_exc">'extractie-dln'!$I$65</definedName>
    <definedName name="Saldo_ZP">'extractie-dln'!$I$116</definedName>
    <definedName name="Status">deelberekening!$D$5</definedName>
    <definedName name="Tebereiken67">deelberekening!$B$57</definedName>
    <definedName name="Toekomstig_LOP_ACT_AOW">deelberekening!$B$71</definedName>
    <definedName name="Toekomstig_LOP_ACT_AOW_min2">deelberekening!$B$61</definedName>
    <definedName name="Toekomstig_LOP_ACT_AOW_plus_1">deelberekening!$B$82</definedName>
    <definedName name="Toekomstig_LOP_ACT_exc_AOW">deelberekening!$B$72</definedName>
    <definedName name="Toekomstig_LOP_ACT_exc_AOW_min2">deelberekening!$B$62</definedName>
    <definedName name="Toekomstig_LOP_ACT_exc_AOW_plus_1">deelberekening!$B$82</definedName>
    <definedName name="TPPaanwezig">deelberekening!$B$154</definedName>
    <definedName name="VerhoudingOP_PP">deelberekening!$D$25</definedName>
    <definedName name="VerzekerdPP">deelberekening!$B$151</definedName>
    <definedName name="VerzekerdPP_na_pens">deelberekening!$D$151</definedName>
    <definedName name="VerzekerdWzP">deelberekening!$F$151</definedName>
    <definedName name="VerzekerdWzPnaPens">deelberekening!$F$152</definedName>
    <definedName name="Voortzettings_percentage">deelberekening!$B$34</definedName>
    <definedName name="Voortzettingspercentage">deelberekening!$B$36</definedName>
    <definedName name="VPL_Schoen_67">deelberekening!$B$50</definedName>
    <definedName name="VPL_Schoen_AOW_min_2">deelberekening!#REF!</definedName>
    <definedName name="VPL_Schoen_OP">'extractie-dln'!$I$118</definedName>
    <definedName name="VPL_Schoen_PP">'extractie-dln'!$I$120</definedName>
    <definedName name="WAO_vzt_Totaal">'extractie-dln'!$I$40</definedName>
    <definedName name="WIA_vzt_Totaal">'extractie-dln'!$I$39</definedName>
    <definedName name="WzP_excedent">'extractie-dln'!$I$97</definedName>
    <definedName name="WzP_excedent_opgebouwd">'extractie-dln'!$I$98</definedName>
    <definedName name="WzP_middelloon">'extractie-dln'!$I$95</definedName>
    <definedName name="WzP_middelloon_opgebouwd">'extractie-dln'!$I$96</definedName>
    <definedName name="WzP_oud">'extractie-dln'!$I$99</definedName>
  </definedNames>
  <calcPr calcId="145621"/>
  <extLst>
    <ext xmlns:x14="http://schemas.microsoft.com/office/spreadsheetml/2009/9/main" uri="{8193D73E-4604-4355-AFF4-8A2333D13BE4}">
      <x14:definedNames>
        <x14:definedName name="GaNaarDeelnemer">
          <x14:argumentDescriptions count="1">
            <x14:argumentDescription index="0">Positional argument 1</x14:argumentDescription>
          </x14:argumentDescriptions>
        </x14:definedName>
        <x14:definedName name="HaalWaardeCodeTabel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HaalWaardeCodeTabelAlsFloa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HaalWaardeCodeTabelAlsIn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oonDeelnemer">
          <x14:argumentDescriptions count="1">
            <x14:argumentDescription index="0">Positional argument 1</x14:argumentDescription>
          </x14:argumentDescriptions>
        </x14:definedName>
        <x14:definedName name="VullenPersonen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G9" i="18" l="1"/>
  <c r="E17" i="99"/>
  <c r="F174" i="99" l="1"/>
  <c r="J2" i="99" l="1"/>
  <c r="I108" i="18"/>
  <c r="B52" i="99"/>
  <c r="B53" i="99"/>
  <c r="B54" i="99"/>
  <c r="B55" i="99"/>
  <c r="I73" i="18" l="1"/>
  <c r="B33" i="99" s="1"/>
  <c r="I66" i="18"/>
  <c r="I67" i="18"/>
  <c r="I33" i="18"/>
  <c r="B28" i="99" s="1"/>
  <c r="I42" i="18"/>
  <c r="I40" i="18"/>
  <c r="I52" i="18"/>
  <c r="I38" i="18"/>
  <c r="B32" i="99" s="1"/>
  <c r="I31" i="18"/>
  <c r="I32" i="18" s="1"/>
  <c r="X31" i="18"/>
  <c r="F100" i="99"/>
  <c r="F98" i="99"/>
  <c r="I71" i="18"/>
  <c r="I72" i="18"/>
  <c r="I53" i="18"/>
  <c r="I54" i="18"/>
  <c r="I46" i="18"/>
  <c r="I47" i="18"/>
  <c r="I48" i="18"/>
  <c r="I49" i="18"/>
  <c r="I50" i="18"/>
  <c r="I51" i="18"/>
  <c r="B2" i="99"/>
  <c r="I76" i="18" l="1"/>
  <c r="I61" i="18"/>
  <c r="I60" i="18"/>
  <c r="I59" i="18"/>
  <c r="I58" i="18"/>
  <c r="I120" i="18" l="1"/>
  <c r="B147" i="99" s="1"/>
  <c r="I118" i="18"/>
  <c r="B50" i="99" s="1"/>
  <c r="I116" i="18"/>
  <c r="B146" i="99" s="1"/>
  <c r="I106" i="18"/>
  <c r="I37" i="18"/>
  <c r="G112" i="99"/>
  <c r="I107" i="18"/>
  <c r="I114" i="18"/>
  <c r="I113" i="18"/>
  <c r="I111" i="18"/>
  <c r="I110" i="18"/>
  <c r="I105" i="18"/>
  <c r="B63" i="99" s="1"/>
  <c r="I96" i="18"/>
  <c r="I62" i="18"/>
  <c r="D42" i="99" s="1"/>
  <c r="B49" i="99" l="1"/>
  <c r="I28" i="18"/>
  <c r="I29" i="18"/>
  <c r="D102" i="99" l="1"/>
  <c r="I98" i="18"/>
  <c r="F144" i="99" s="1"/>
  <c r="I89" i="18"/>
  <c r="B141" i="99" s="1"/>
  <c r="I86" i="18"/>
  <c r="I88" i="18"/>
  <c r="I87" i="18"/>
  <c r="I70" i="18"/>
  <c r="I69" i="18"/>
  <c r="B29" i="99" s="1"/>
  <c r="I68" i="18"/>
  <c r="B27" i="99" s="1"/>
  <c r="I65" i="18"/>
  <c r="B26" i="99" s="1"/>
  <c r="B31" i="99" l="1"/>
  <c r="I41" i="18"/>
  <c r="I43" i="18"/>
  <c r="I44" i="18"/>
  <c r="I45" i="18"/>
  <c r="I56" i="18"/>
  <c r="I64" i="18" l="1"/>
  <c r="B56" i="99" s="1"/>
  <c r="B41" i="99" l="1"/>
  <c r="D57" i="99"/>
  <c r="B36" i="16"/>
  <c r="I39" i="18"/>
  <c r="B36" i="99" s="1"/>
  <c r="B25" i="99"/>
  <c r="B30" i="99" s="1"/>
  <c r="F143" i="99"/>
  <c r="I95" i="18"/>
  <c r="F140" i="99" s="1"/>
  <c r="I99" i="18"/>
  <c r="F145" i="99" s="1"/>
  <c r="I97" i="18"/>
  <c r="I82" i="18"/>
  <c r="B140" i="99" s="1"/>
  <c r="F118" i="99"/>
  <c r="F131" i="99"/>
  <c r="F125" i="99"/>
  <c r="E45" i="100"/>
  <c r="E44" i="100"/>
  <c r="E42" i="100"/>
  <c r="E41" i="100"/>
  <c r="E39" i="100"/>
  <c r="E38" i="100"/>
  <c r="E36" i="100"/>
  <c r="E35" i="100"/>
  <c r="E33" i="100"/>
  <c r="E32" i="100"/>
  <c r="E30" i="100"/>
  <c r="E29" i="100"/>
  <c r="E27" i="100"/>
  <c r="E26" i="100"/>
  <c r="E24" i="100"/>
  <c r="E23" i="100"/>
  <c r="E21" i="100"/>
  <c r="E20" i="100"/>
  <c r="E18" i="100"/>
  <c r="E17" i="100"/>
  <c r="E15" i="100"/>
  <c r="E14" i="100"/>
  <c r="E12" i="100"/>
  <c r="E11" i="100"/>
  <c r="D44" i="99" l="1"/>
  <c r="F153" i="99"/>
  <c r="F142" i="99"/>
  <c r="F141" i="99"/>
  <c r="D56" i="99"/>
  <c r="B142" i="99"/>
  <c r="B153" i="99" s="1"/>
  <c r="C172" i="99" s="1"/>
  <c r="C193" i="99" l="1"/>
  <c r="C195" i="99" l="1"/>
  <c r="C174" i="99"/>
  <c r="N188" i="99" l="1"/>
  <c r="K188" i="99"/>
  <c r="H188" i="99"/>
  <c r="E188" i="99"/>
  <c r="N168" i="99"/>
  <c r="J18" i="99" l="1"/>
  <c r="J14" i="99"/>
  <c r="J15" i="99"/>
  <c r="J16" i="99"/>
  <c r="J17" i="99"/>
  <c r="J13" i="99"/>
  <c r="D5" i="99"/>
  <c r="I35" i="18"/>
  <c r="B38" i="99" s="1"/>
  <c r="I36" i="18"/>
  <c r="B34" i="99"/>
  <c r="J168" i="99" l="1"/>
  <c r="K168" i="99" s="1"/>
  <c r="I30" i="18"/>
  <c r="D173" i="99" l="1"/>
  <c r="N159" i="99"/>
  <c r="N160" i="99"/>
  <c r="N161" i="99"/>
  <c r="N162" i="99"/>
  <c r="N163" i="99"/>
  <c r="N164" i="99"/>
  <c r="N165" i="99"/>
  <c r="N166" i="99"/>
  <c r="N167" i="99"/>
  <c r="N158" i="99"/>
  <c r="M171" i="99"/>
  <c r="N171" i="99" s="1"/>
  <c r="M172" i="99"/>
  <c r="N172" i="99" s="1"/>
  <c r="M173" i="99"/>
  <c r="N173" i="99" s="1"/>
  <c r="M174" i="99"/>
  <c r="N174" i="99" s="1"/>
  <c r="G168" i="99"/>
  <c r="H168" i="99" s="1"/>
  <c r="D168" i="99"/>
  <c r="J99" i="99"/>
  <c r="D92" i="99" l="1"/>
  <c r="I142" i="18" l="1"/>
  <c r="I34" i="18"/>
  <c r="B84" i="99" l="1"/>
  <c r="B73" i="99"/>
  <c r="M170" i="99"/>
  <c r="N170" i="99" s="1"/>
  <c r="N156" i="99" s="1"/>
  <c r="J171" i="99"/>
  <c r="K171" i="99" s="1"/>
  <c r="J172" i="99"/>
  <c r="K172" i="99" s="1"/>
  <c r="J173" i="99"/>
  <c r="K173" i="99" s="1"/>
  <c r="J174" i="99"/>
  <c r="K174" i="99" s="1"/>
  <c r="J170" i="99"/>
  <c r="K170" i="99" s="1"/>
  <c r="G171" i="99"/>
  <c r="G172" i="99"/>
  <c r="G173" i="99"/>
  <c r="G174" i="99"/>
  <c r="G170" i="99"/>
  <c r="H170" i="99" s="1"/>
  <c r="J191" i="99"/>
  <c r="J192" i="99"/>
  <c r="J193" i="99"/>
  <c r="J194" i="99"/>
  <c r="M191" i="99"/>
  <c r="M192" i="99"/>
  <c r="M193" i="99"/>
  <c r="M194" i="99"/>
  <c r="M195" i="99"/>
  <c r="J195" i="99"/>
  <c r="G192" i="99"/>
  <c r="G193" i="99"/>
  <c r="G194" i="99"/>
  <c r="G195" i="99"/>
  <c r="G191" i="99"/>
  <c r="M178" i="99"/>
  <c r="M179" i="99"/>
  <c r="M180" i="99"/>
  <c r="M181" i="99"/>
  <c r="M182" i="99"/>
  <c r="M183" i="99"/>
  <c r="M184" i="99"/>
  <c r="M185" i="99"/>
  <c r="M186" i="99"/>
  <c r="J178" i="99"/>
  <c r="J179" i="99"/>
  <c r="J180" i="99"/>
  <c r="J181" i="99"/>
  <c r="J182" i="99"/>
  <c r="J183" i="99"/>
  <c r="J184" i="99"/>
  <c r="J185" i="99"/>
  <c r="J186" i="99"/>
  <c r="M187" i="99"/>
  <c r="J187" i="99"/>
  <c r="G178" i="99"/>
  <c r="G179" i="99"/>
  <c r="G180" i="99"/>
  <c r="G181" i="99"/>
  <c r="G182" i="99"/>
  <c r="G183" i="99"/>
  <c r="G184" i="99"/>
  <c r="G185" i="99"/>
  <c r="G186" i="99"/>
  <c r="G187" i="99"/>
  <c r="D178" i="99"/>
  <c r="D179" i="99"/>
  <c r="D180" i="99"/>
  <c r="D181" i="99"/>
  <c r="D182" i="99"/>
  <c r="D183" i="99"/>
  <c r="D184" i="99"/>
  <c r="D185" i="99"/>
  <c r="J159" i="99"/>
  <c r="K159" i="99" s="1"/>
  <c r="J160" i="99"/>
  <c r="K160" i="99" s="1"/>
  <c r="J161" i="99"/>
  <c r="K161" i="99" s="1"/>
  <c r="J162" i="99"/>
  <c r="K162" i="99" s="1"/>
  <c r="J163" i="99"/>
  <c r="K163" i="99" s="1"/>
  <c r="J164" i="99"/>
  <c r="K164" i="99" s="1"/>
  <c r="J165" i="99"/>
  <c r="K165" i="99" s="1"/>
  <c r="J166" i="99"/>
  <c r="K166" i="99" s="1"/>
  <c r="J167" i="99"/>
  <c r="K167" i="99" s="1"/>
  <c r="J158" i="99"/>
  <c r="K158" i="99" s="1"/>
  <c r="G160" i="99"/>
  <c r="H160" i="99" s="1"/>
  <c r="G161" i="99"/>
  <c r="H161" i="99" s="1"/>
  <c r="G162" i="99"/>
  <c r="G163" i="99"/>
  <c r="G164" i="99"/>
  <c r="H164" i="99" s="1"/>
  <c r="G165" i="99"/>
  <c r="H165" i="99" s="1"/>
  <c r="G166" i="99"/>
  <c r="H166" i="99" s="1"/>
  <c r="G167" i="99"/>
  <c r="H167" i="99" s="1"/>
  <c r="G159" i="99"/>
  <c r="H159" i="99" s="1"/>
  <c r="G158" i="99"/>
  <c r="H158" i="99" s="1"/>
  <c r="M118" i="99"/>
  <c r="N118" i="99" s="1"/>
  <c r="M119" i="99"/>
  <c r="N119" i="99" s="1"/>
  <c r="M120" i="99"/>
  <c r="N120" i="99" s="1"/>
  <c r="M121" i="99"/>
  <c r="N121" i="99" s="1"/>
  <c r="M123" i="99"/>
  <c r="N123" i="99" s="1"/>
  <c r="M124" i="99"/>
  <c r="N124" i="99" s="1"/>
  <c r="M125" i="99"/>
  <c r="N125" i="99" s="1"/>
  <c r="M126" i="99"/>
  <c r="N126" i="99" s="1"/>
  <c r="M127" i="99"/>
  <c r="N127" i="99" s="1"/>
  <c r="M128" i="99"/>
  <c r="N128" i="99" s="1"/>
  <c r="M129" i="99"/>
  <c r="N129" i="99" s="1"/>
  <c r="M130" i="99"/>
  <c r="N130" i="99" s="1"/>
  <c r="M131" i="99"/>
  <c r="N131" i="99" s="1"/>
  <c r="M132" i="99"/>
  <c r="N132" i="99" s="1"/>
  <c r="M133" i="99"/>
  <c r="N133" i="99" s="1"/>
  <c r="M134" i="99"/>
  <c r="N134" i="99" s="1"/>
  <c r="M117" i="99"/>
  <c r="M111" i="99"/>
  <c r="N111" i="99" s="1"/>
  <c r="M112" i="99"/>
  <c r="N112" i="99" s="1"/>
  <c r="M113" i="99"/>
  <c r="N113" i="99" s="1"/>
  <c r="M110" i="99"/>
  <c r="M100" i="99"/>
  <c r="N100" i="99" s="1"/>
  <c r="M101" i="99"/>
  <c r="N101" i="99" s="1"/>
  <c r="M102" i="99"/>
  <c r="N102" i="99" s="1"/>
  <c r="M103" i="99"/>
  <c r="N103" i="99" s="1"/>
  <c r="M104" i="99"/>
  <c r="N104" i="99" s="1"/>
  <c r="M105" i="99"/>
  <c r="N105" i="99" s="1"/>
  <c r="M106" i="99"/>
  <c r="N106" i="99" s="1"/>
  <c r="M107" i="99"/>
  <c r="N107" i="99" s="1"/>
  <c r="M108" i="99"/>
  <c r="N108" i="99" s="1"/>
  <c r="M99" i="99"/>
  <c r="N99" i="99" s="1"/>
  <c r="M98" i="99"/>
  <c r="N98" i="99" s="1"/>
  <c r="J118" i="99"/>
  <c r="J119" i="99"/>
  <c r="J120" i="99"/>
  <c r="K120" i="99" s="1"/>
  <c r="J121" i="99"/>
  <c r="K121" i="99" s="1"/>
  <c r="J123" i="99"/>
  <c r="K123" i="99" s="1"/>
  <c r="J124" i="99"/>
  <c r="K124" i="99" s="1"/>
  <c r="J125" i="99"/>
  <c r="J126" i="99"/>
  <c r="K126" i="99" s="1"/>
  <c r="J127" i="99"/>
  <c r="K127" i="99" s="1"/>
  <c r="J128" i="99"/>
  <c r="K128" i="99" s="1"/>
  <c r="J129" i="99"/>
  <c r="K129" i="99" s="1"/>
  <c r="J130" i="99"/>
  <c r="K130" i="99" s="1"/>
  <c r="J131" i="99"/>
  <c r="J132" i="99"/>
  <c r="K132" i="99" s="1"/>
  <c r="J133" i="99"/>
  <c r="K133" i="99" s="1"/>
  <c r="J134" i="99"/>
  <c r="K134" i="99" s="1"/>
  <c r="J117" i="99"/>
  <c r="K117" i="99" s="1"/>
  <c r="J111" i="99"/>
  <c r="J112" i="99"/>
  <c r="J113" i="99"/>
  <c r="K113" i="99" s="1"/>
  <c r="J110" i="99"/>
  <c r="J100" i="99"/>
  <c r="J101" i="99"/>
  <c r="J102" i="99"/>
  <c r="K102" i="99" s="1"/>
  <c r="J103" i="99"/>
  <c r="K103" i="99" s="1"/>
  <c r="J104" i="99"/>
  <c r="K104" i="99" s="1"/>
  <c r="J105" i="99"/>
  <c r="K105" i="99" s="1"/>
  <c r="J106" i="99"/>
  <c r="K106" i="99" s="1"/>
  <c r="J107" i="99"/>
  <c r="K107" i="99" s="1"/>
  <c r="J108" i="99"/>
  <c r="K108" i="99" s="1"/>
  <c r="J98" i="99"/>
  <c r="G118" i="99"/>
  <c r="H118" i="99" s="1"/>
  <c r="G119" i="99"/>
  <c r="G120" i="99"/>
  <c r="H120" i="99" s="1"/>
  <c r="G121" i="99"/>
  <c r="H121" i="99" s="1"/>
  <c r="G123" i="99"/>
  <c r="H123" i="99" s="1"/>
  <c r="G124" i="99"/>
  <c r="H124" i="99" s="1"/>
  <c r="G125" i="99"/>
  <c r="G126" i="99"/>
  <c r="H126" i="99" s="1"/>
  <c r="G127" i="99"/>
  <c r="H127" i="99" s="1"/>
  <c r="G128" i="99"/>
  <c r="H128" i="99" s="1"/>
  <c r="G129" i="99"/>
  <c r="H129" i="99" s="1"/>
  <c r="G130" i="99"/>
  <c r="H130" i="99" s="1"/>
  <c r="G131" i="99"/>
  <c r="G132" i="99"/>
  <c r="H132" i="99" s="1"/>
  <c r="G133" i="99"/>
  <c r="H133" i="99" s="1"/>
  <c r="G134" i="99"/>
  <c r="H134" i="99" s="1"/>
  <c r="G117" i="99"/>
  <c r="H117" i="99" s="1"/>
  <c r="G111" i="99"/>
  <c r="G113" i="99"/>
  <c r="H113" i="99" s="1"/>
  <c r="G110" i="99"/>
  <c r="H110" i="99" s="1"/>
  <c r="G99" i="99"/>
  <c r="H99" i="99" s="1"/>
  <c r="G100" i="99"/>
  <c r="H100" i="99" s="1"/>
  <c r="G101" i="99"/>
  <c r="H101" i="99" s="1"/>
  <c r="G102" i="99"/>
  <c r="H102" i="99" s="1"/>
  <c r="G103" i="99"/>
  <c r="H103" i="99" s="1"/>
  <c r="G104" i="99"/>
  <c r="H104" i="99" s="1"/>
  <c r="G105" i="99"/>
  <c r="H105" i="99" s="1"/>
  <c r="G106" i="99"/>
  <c r="H106" i="99" s="1"/>
  <c r="G107" i="99"/>
  <c r="H107" i="99" s="1"/>
  <c r="G108" i="99"/>
  <c r="G98" i="99"/>
  <c r="H98" i="99" s="1"/>
  <c r="D191" i="99"/>
  <c r="H114" i="99"/>
  <c r="H115" i="99"/>
  <c r="H116" i="99"/>
  <c r="H109" i="99"/>
  <c r="K109" i="99"/>
  <c r="N109" i="99"/>
  <c r="E31" i="100" l="1"/>
  <c r="D118" i="99"/>
  <c r="D119" i="99"/>
  <c r="D120" i="99"/>
  <c r="D121" i="99"/>
  <c r="E121" i="99" s="1"/>
  <c r="E123" i="99"/>
  <c r="D124" i="99"/>
  <c r="E124" i="99" s="1"/>
  <c r="D125" i="99"/>
  <c r="D126" i="99"/>
  <c r="D127" i="99"/>
  <c r="D128" i="99"/>
  <c r="E128" i="99" s="1"/>
  <c r="D129" i="99"/>
  <c r="E129" i="99" s="1"/>
  <c r="D130" i="99"/>
  <c r="E130" i="99" s="1"/>
  <c r="D131" i="99"/>
  <c r="D132" i="99"/>
  <c r="D133" i="99"/>
  <c r="D134" i="99"/>
  <c r="E134" i="99" s="1"/>
  <c r="D117" i="99"/>
  <c r="E117" i="99" s="1"/>
  <c r="D111" i="99"/>
  <c r="D112" i="99"/>
  <c r="D113" i="99"/>
  <c r="E113" i="99" s="1"/>
  <c r="D110" i="99"/>
  <c r="E110" i="99" s="1"/>
  <c r="D100" i="99"/>
  <c r="E100" i="99" s="1"/>
  <c r="D101" i="99"/>
  <c r="E101" i="99" s="1"/>
  <c r="D103" i="99"/>
  <c r="E103" i="99" s="1"/>
  <c r="D104" i="99"/>
  <c r="E104" i="99" s="1"/>
  <c r="D105" i="99"/>
  <c r="E105" i="99" s="1"/>
  <c r="D106" i="99"/>
  <c r="E106" i="99" s="1"/>
  <c r="D107" i="99"/>
  <c r="E107" i="99" s="1"/>
  <c r="D108" i="99"/>
  <c r="E108" i="99" s="1"/>
  <c r="D99" i="99"/>
  <c r="E99" i="99" s="1"/>
  <c r="D98" i="99"/>
  <c r="E98" i="99" s="1"/>
  <c r="N135" i="99"/>
  <c r="K135" i="99"/>
  <c r="H135" i="99"/>
  <c r="E135" i="99"/>
  <c r="O131" i="99"/>
  <c r="O125" i="99"/>
  <c r="O118" i="99"/>
  <c r="N117" i="99"/>
  <c r="N116" i="99"/>
  <c r="K116" i="99"/>
  <c r="E116" i="99"/>
  <c r="N115" i="99"/>
  <c r="K115" i="99"/>
  <c r="E115" i="99"/>
  <c r="N114" i="99"/>
  <c r="K114" i="99"/>
  <c r="E114" i="99"/>
  <c r="N110" i="99"/>
  <c r="K110" i="99"/>
  <c r="E109" i="99"/>
  <c r="H108" i="99"/>
  <c r="N96" i="99" l="1"/>
  <c r="E19" i="100" s="1"/>
  <c r="K111" i="99"/>
  <c r="K112" i="99"/>
  <c r="K100" i="99"/>
  <c r="K101" i="99"/>
  <c r="F163" i="99" l="1"/>
  <c r="H163" i="99" s="1"/>
  <c r="C164" i="99"/>
  <c r="F162" i="99"/>
  <c r="H162" i="99" s="1"/>
  <c r="C165" i="99"/>
  <c r="H174" i="99"/>
  <c r="F172" i="99"/>
  <c r="H172" i="99" s="1"/>
  <c r="D158" i="99" l="1"/>
  <c r="E158" i="99" s="1"/>
  <c r="N195" i="99"/>
  <c r="N194" i="99"/>
  <c r="N193" i="99"/>
  <c r="N192" i="99"/>
  <c r="N191" i="99"/>
  <c r="N190" i="99"/>
  <c r="N189" i="99"/>
  <c r="N187" i="99"/>
  <c r="N186" i="99"/>
  <c r="N185" i="99"/>
  <c r="N184" i="99"/>
  <c r="N183" i="99"/>
  <c r="N182" i="99"/>
  <c r="N181" i="99"/>
  <c r="N180" i="99"/>
  <c r="N179" i="99"/>
  <c r="N178" i="99"/>
  <c r="K195" i="99"/>
  <c r="K194" i="99"/>
  <c r="K193" i="99"/>
  <c r="K192" i="99"/>
  <c r="K191" i="99"/>
  <c r="K190" i="99"/>
  <c r="K189" i="99"/>
  <c r="K187" i="99"/>
  <c r="K186" i="99"/>
  <c r="K185" i="99"/>
  <c r="K184" i="99"/>
  <c r="K183" i="99"/>
  <c r="K182" i="99"/>
  <c r="K181" i="99"/>
  <c r="K180" i="99"/>
  <c r="K179" i="99"/>
  <c r="K178" i="99"/>
  <c r="H195" i="99"/>
  <c r="H194" i="99"/>
  <c r="H193" i="99"/>
  <c r="H192" i="99"/>
  <c r="H191" i="99"/>
  <c r="H190" i="99"/>
  <c r="H189" i="99"/>
  <c r="H187" i="99"/>
  <c r="H186" i="99"/>
  <c r="H185" i="99"/>
  <c r="H184" i="99"/>
  <c r="H183" i="99"/>
  <c r="H182" i="99"/>
  <c r="H181" i="99"/>
  <c r="H180" i="99"/>
  <c r="H179" i="99"/>
  <c r="H178" i="99"/>
  <c r="E180" i="99"/>
  <c r="E181" i="99"/>
  <c r="E182" i="99"/>
  <c r="E183" i="99"/>
  <c r="E184" i="99"/>
  <c r="E185" i="99"/>
  <c r="E189" i="99"/>
  <c r="E190" i="99"/>
  <c r="E179" i="99"/>
  <c r="E178" i="99"/>
  <c r="N175" i="99"/>
  <c r="K175" i="99"/>
  <c r="K169" i="99"/>
  <c r="K156" i="99" s="1"/>
  <c r="H175" i="99"/>
  <c r="H169" i="99"/>
  <c r="E169" i="99"/>
  <c r="E175" i="99"/>
  <c r="K176" i="99" l="1"/>
  <c r="H176" i="99"/>
  <c r="N176" i="99"/>
  <c r="E43" i="100" s="1"/>
  <c r="E40" i="100"/>
  <c r="E37" i="100"/>
  <c r="E28" i="100"/>
  <c r="D187" i="99" l="1"/>
  <c r="E187" i="99" s="1"/>
  <c r="D186" i="99"/>
  <c r="D192" i="99"/>
  <c r="D193" i="99"/>
  <c r="E193" i="99" s="1"/>
  <c r="D194" i="99"/>
  <c r="D195" i="99"/>
  <c r="E195" i="99" s="1"/>
  <c r="D171" i="99"/>
  <c r="D172" i="99"/>
  <c r="E172" i="99" s="1"/>
  <c r="D174" i="99"/>
  <c r="E174" i="99" s="1"/>
  <c r="D170" i="99"/>
  <c r="E170" i="99" s="1"/>
  <c r="D159" i="99"/>
  <c r="E159" i="99" s="1"/>
  <c r="D160" i="99"/>
  <c r="E160" i="99" s="1"/>
  <c r="D161" i="99"/>
  <c r="E161" i="99" s="1"/>
  <c r="D162" i="99"/>
  <c r="E162" i="99" s="1"/>
  <c r="D163" i="99"/>
  <c r="E163" i="99" s="1"/>
  <c r="D164" i="99"/>
  <c r="E164" i="99" s="1"/>
  <c r="D165" i="99"/>
  <c r="E165" i="99" s="1"/>
  <c r="D166" i="99"/>
  <c r="E166" i="99" s="1"/>
  <c r="D167" i="99"/>
  <c r="E167" i="99" s="1"/>
  <c r="J95" i="99" l="1"/>
  <c r="H111" i="99" l="1"/>
  <c r="B4" i="99"/>
  <c r="B5" i="99"/>
  <c r="B6" i="99"/>
  <c r="B7" i="99"/>
  <c r="B8" i="99"/>
  <c r="B9" i="99"/>
  <c r="B10" i="99"/>
  <c r="B11" i="99"/>
  <c r="B12" i="99"/>
  <c r="B13" i="99"/>
  <c r="B14" i="99"/>
  <c r="B3" i="99"/>
  <c r="I6" i="99" l="1"/>
  <c r="E2" i="99"/>
  <c r="B42" i="99" s="1"/>
  <c r="B46" i="99" s="1"/>
  <c r="J4" i="99"/>
  <c r="J3" i="99"/>
  <c r="B37" i="99"/>
  <c r="K10" i="99"/>
  <c r="L10" i="99"/>
  <c r="I10" i="99"/>
  <c r="I11" i="99" l="1"/>
  <c r="B80" i="99" s="1"/>
  <c r="B81" i="99" s="1"/>
  <c r="L9" i="99"/>
  <c r="I9" i="99"/>
  <c r="B59" i="99" s="1"/>
  <c r="B60" i="99" s="1"/>
  <c r="B43" i="99"/>
  <c r="B47" i="99" s="1"/>
  <c r="C70" i="99"/>
  <c r="B69" i="99"/>
  <c r="B70" i="99" s="1"/>
  <c r="B72" i="99" s="1"/>
  <c r="J10" i="99"/>
  <c r="L11" i="99"/>
  <c r="K9" i="99"/>
  <c r="K11" i="99"/>
  <c r="D74" i="99"/>
  <c r="B74" i="99"/>
  <c r="B64" i="99"/>
  <c r="B85" i="99"/>
  <c r="B45" i="99" l="1"/>
  <c r="B143" i="99" s="1"/>
  <c r="B88" i="99"/>
  <c r="B77" i="99"/>
  <c r="B66" i="99"/>
  <c r="B61" i="99"/>
  <c r="B62" i="99"/>
  <c r="B83" i="99"/>
  <c r="B82" i="99"/>
  <c r="B44" i="99"/>
  <c r="B145" i="99" s="1"/>
  <c r="B48" i="99"/>
  <c r="B91" i="99"/>
  <c r="K98" i="99" s="1"/>
  <c r="B71" i="99"/>
  <c r="B78" i="99" s="1"/>
  <c r="D78" i="99"/>
  <c r="D77" i="99"/>
  <c r="B92" i="99"/>
  <c r="J9" i="99"/>
  <c r="J11" i="99"/>
  <c r="H131" i="99"/>
  <c r="K131" i="99"/>
  <c r="H125" i="99"/>
  <c r="K125" i="99"/>
  <c r="K99" i="99"/>
  <c r="D85" i="99"/>
  <c r="D64" i="99"/>
  <c r="I119" i="99" l="1"/>
  <c r="F119" i="99"/>
  <c r="B57" i="99"/>
  <c r="C102" i="99" s="1"/>
  <c r="B144" i="99"/>
  <c r="B151" i="99" s="1"/>
  <c r="C171" i="99" s="1"/>
  <c r="C126" i="99"/>
  <c r="E126" i="99" s="1"/>
  <c r="C127" i="99"/>
  <c r="E127" i="99" s="1"/>
  <c r="B89" i="99"/>
  <c r="B67" i="99"/>
  <c r="D89" i="99"/>
  <c r="D88" i="99"/>
  <c r="D67" i="99"/>
  <c r="D66" i="99"/>
  <c r="C120" i="99" s="1"/>
  <c r="K118" i="99"/>
  <c r="C111" i="99" l="1"/>
  <c r="E111" i="99" s="1"/>
  <c r="C112" i="99"/>
  <c r="E112" i="99" s="1"/>
  <c r="C125" i="99"/>
  <c r="E125" i="99" s="1"/>
  <c r="C131" i="99"/>
  <c r="E131" i="99" s="1"/>
  <c r="C118" i="99"/>
  <c r="E118" i="99" s="1"/>
  <c r="F151" i="99"/>
  <c r="D151" i="99"/>
  <c r="C173" i="99" s="1"/>
  <c r="F152" i="99"/>
  <c r="C194" i="99" s="1"/>
  <c r="C132" i="99"/>
  <c r="E132" i="99" s="1"/>
  <c r="C119" i="99"/>
  <c r="E119" i="99" s="1"/>
  <c r="C133" i="99"/>
  <c r="E133" i="99" s="1"/>
  <c r="E102" i="99"/>
  <c r="E120" i="99"/>
  <c r="H119" i="99"/>
  <c r="F171" i="99"/>
  <c r="H171" i="99" s="1"/>
  <c r="F173" i="99"/>
  <c r="H173" i="99" s="1"/>
  <c r="E96" i="99" l="1"/>
  <c r="H156" i="99"/>
  <c r="E25" i="100" s="1"/>
  <c r="C192" i="99"/>
  <c r="E192" i="99" s="1"/>
  <c r="E173" i="99"/>
  <c r="E171" i="99"/>
  <c r="E194" i="99"/>
  <c r="C191" i="99"/>
  <c r="E191" i="99" s="1"/>
  <c r="C186" i="99"/>
  <c r="E186" i="99" s="1"/>
  <c r="C168" i="99"/>
  <c r="E168" i="99" s="1"/>
  <c r="K119" i="99"/>
  <c r="K96" i="99" s="1"/>
  <c r="E156" i="99" l="1"/>
  <c r="E22" i="100" s="1"/>
  <c r="E176" i="99"/>
  <c r="E34" i="100" s="1"/>
  <c r="E16" i="100"/>
  <c r="H112" i="99" l="1"/>
  <c r="H96" i="99" s="1"/>
  <c r="E13" i="100" l="1"/>
  <c r="E10" i="100"/>
  <c r="E8" i="100" l="1"/>
  <c r="E9" i="100"/>
  <c r="D6" i="99" s="1"/>
</calcChain>
</file>

<file path=xl/sharedStrings.xml><?xml version="1.0" encoding="utf-8"?>
<sst xmlns="http://schemas.openxmlformats.org/spreadsheetml/2006/main" count="2703" uniqueCount="592">
  <si>
    <t>database_type</t>
  </si>
  <si>
    <t>oracle</t>
  </si>
  <si>
    <t>service</t>
  </si>
  <si>
    <t>host</t>
  </si>
  <si>
    <t>password</t>
  </si>
  <si>
    <t>table</t>
  </si>
  <si>
    <t>column</t>
  </si>
  <si>
    <t>npr_xml</t>
  </si>
  <si>
    <t>deelnemer_xml</t>
  </si>
  <si>
    <t>deelnemer-xml</t>
  </si>
  <si>
    <t>npr-xml</t>
  </si>
  <si>
    <t>PSN_ID</t>
  </si>
  <si>
    <t>table_owner</t>
  </si>
  <si>
    <t>login_user</t>
  </si>
  <si>
    <t>PP</t>
  </si>
  <si>
    <t>Blok</t>
  </si>
  <si>
    <t>Resultaat</t>
  </si>
  <si>
    <t>OP</t>
  </si>
  <si>
    <t>WzP</t>
  </si>
  <si>
    <t>Oracle #Fetch</t>
  </si>
  <si>
    <t>elapsed</t>
  </si>
  <si>
    <t>avg</t>
  </si>
  <si>
    <t>lxml Object</t>
  </si>
  <si>
    <t>LOP_middelloon</t>
  </si>
  <si>
    <t>Rij</t>
  </si>
  <si>
    <t>Dienstverband</t>
  </si>
  <si>
    <t>begin_dvd</t>
  </si>
  <si>
    <t>eind_dvd</t>
  </si>
  <si>
    <t>koppeling_begin</t>
  </si>
  <si>
    <t>INFO</t>
  </si>
  <si>
    <t>Element</t>
  </si>
  <si>
    <t>Flexrekendatum</t>
  </si>
  <si>
    <t>Rekendatum</t>
  </si>
  <si>
    <t>Opmerking</t>
  </si>
  <si>
    <t>code-tabellen</t>
  </si>
  <si>
    <t>xml_bericht</t>
  </si>
  <si>
    <t>Geboortedatum</t>
  </si>
  <si>
    <t>Geslacht</t>
  </si>
  <si>
    <t>Heer of mevrouw</t>
  </si>
  <si>
    <t>Naam</t>
  </si>
  <si>
    <t>Naam aanhef</t>
  </si>
  <si>
    <t>n</t>
  </si>
  <si>
    <t>P0319</t>
  </si>
  <si>
    <t>P0488</t>
  </si>
  <si>
    <t>waarde</t>
  </si>
  <si>
    <t>P1455</t>
  </si>
  <si>
    <t>P0661</t>
  </si>
  <si>
    <t>P1138</t>
  </si>
  <si>
    <t>P2277</t>
  </si>
  <si>
    <t>P0160</t>
  </si>
  <si>
    <t>P1283</t>
  </si>
  <si>
    <t>FlexBedragOpgebouwdPensioen</t>
  </si>
  <si>
    <t>GeenFlexToegestaan</t>
  </si>
  <si>
    <t>Eigenherkenningsnummer</t>
  </si>
  <si>
    <t>DeelnemerStatus</t>
  </si>
  <si>
    <t>StandPer</t>
  </si>
  <si>
    <t>OuderdomsPensioen</t>
  </si>
  <si>
    <t>TijdvakBedrag</t>
  </si>
  <si>
    <t>EindigTijdvak</t>
  </si>
  <si>
    <t>LevenslangTijdvak</t>
  </si>
  <si>
    <t>MethodeVerevening</t>
  </si>
  <si>
    <t>BedragTeBereikenPensioen</t>
  </si>
  <si>
    <t>BedragOpgebouwdPensioen</t>
  </si>
  <si>
    <t>BedragVerevendPensioen</t>
  </si>
  <si>
    <t>Flexmogelijkheid</t>
  </si>
  <si>
    <t>FlexMoment - AOWminTweeJaar</t>
  </si>
  <si>
    <t>FlexbedragTeBereikenPensioen</t>
  </si>
  <si>
    <t>FlexBedragVerevendPensioen</t>
  </si>
  <si>
    <t>FlexMoment - AOW</t>
  </si>
  <si>
    <t>FlexMoment - AOWplusEenJaar</t>
  </si>
  <si>
    <t>VanafOverlijdenEindigTijdvak</t>
  </si>
  <si>
    <t>vanafOverlijdenLevenslangTijdvak</t>
  </si>
  <si>
    <t>AfhandelingScheidingPP</t>
  </si>
  <si>
    <t>BedragVerzekerdPartnerPensioen</t>
  </si>
  <si>
    <t>BedragOpgebouwdPartnerPensioen</t>
  </si>
  <si>
    <t>BedragVerzekerdPPnaPensionering</t>
  </si>
  <si>
    <t>BedragOpgebouwdPPnaPensionering</t>
  </si>
  <si>
    <t>PartnerPensioen</t>
  </si>
  <si>
    <t>WezenPensioen</t>
  </si>
  <si>
    <t>VasteEindleeftijd</t>
  </si>
  <si>
    <t>WezenPensioenPerKind</t>
  </si>
  <si>
    <t>BedragVerzekerdWezenPensioen</t>
  </si>
  <si>
    <t>BedragOpgebouwdWezenPensioen</t>
  </si>
  <si>
    <t>BedragVerzekerdWzPnaPensionering</t>
  </si>
  <si>
    <t>BedragOpgebouwdWzPnaPensionering</t>
  </si>
  <si>
    <t>leeftijdVanJaren</t>
  </si>
  <si>
    <t>leeftijdVanMaanden</t>
  </si>
  <si>
    <t>leeftijdTotJaren</t>
  </si>
  <si>
    <t>leeftijdTotMaanden</t>
  </si>
  <si>
    <t xml:space="preserve"> </t>
  </si>
  <si>
    <t>Jaren</t>
  </si>
  <si>
    <t>Maanden</t>
  </si>
  <si>
    <t>KIX code</t>
  </si>
  <si>
    <t>Adres2</t>
  </si>
  <si>
    <t>BSN (Sofinummer)</t>
  </si>
  <si>
    <t>Adres1</t>
  </si>
  <si>
    <t>BSN Partner</t>
  </si>
  <si>
    <t>Geboortedatum partner</t>
  </si>
  <si>
    <t>Naam partner</t>
  </si>
  <si>
    <t>DVD's --&gt;</t>
  </si>
  <si>
    <t/>
  </si>
  <si>
    <t>volgorde kerngegevens</t>
  </si>
  <si>
    <t>Adres3</t>
  </si>
  <si>
    <t>Adres4</t>
  </si>
  <si>
    <t>xml</t>
  </si>
  <si>
    <t>npr_t01</t>
  </si>
  <si>
    <t>t01npr</t>
  </si>
  <si>
    <t>npr_dtl</t>
  </si>
  <si>
    <t>PDTREG</t>
  </si>
  <si>
    <t>begin</t>
  </si>
  <si>
    <t>einde</t>
  </si>
  <si>
    <t>PSN:</t>
  </si>
  <si>
    <t>BSN:</t>
  </si>
  <si>
    <t>ASE:</t>
  </si>
  <si>
    <t>Naam:</t>
  </si>
  <si>
    <t>A.G. Bout-van den Brink</t>
  </si>
  <si>
    <t>Bouw</t>
  </si>
  <si>
    <t>element</t>
  </si>
  <si>
    <t>npr</t>
  </si>
  <si>
    <t>resultaat</t>
  </si>
  <si>
    <t>psn-id</t>
  </si>
  <si>
    <t>Kerngegevens:</t>
  </si>
  <si>
    <t>Leeftijden en datums:</t>
  </si>
  <si>
    <t>Range AOW:</t>
  </si>
  <si>
    <t>Normpensioenleeftijd:</t>
  </si>
  <si>
    <t>Berekendatum:</t>
  </si>
  <si>
    <t>Leeftijd deelnemer in jaren:</t>
  </si>
  <si>
    <t>Leeftijd deelnemer in maanden:</t>
  </si>
  <si>
    <t>Geboortedatum integer:</t>
  </si>
  <si>
    <t>Normpensioendatum:</t>
  </si>
  <si>
    <t>Flexmomenten</t>
  </si>
  <si>
    <t>Datum:</t>
  </si>
  <si>
    <t>Flextoegestaan:</t>
  </si>
  <si>
    <t>AOW_min_2:</t>
  </si>
  <si>
    <t>AOW:</t>
  </si>
  <si>
    <t>AOW_plus_1:</t>
  </si>
  <si>
    <t>Statussen:</t>
  </si>
  <si>
    <t>Code:</t>
  </si>
  <si>
    <t>Voorkomens:</t>
  </si>
  <si>
    <t>Actief:</t>
  </si>
  <si>
    <t>AO/Actief</t>
  </si>
  <si>
    <t>AO</t>
  </si>
  <si>
    <t>Slapend</t>
  </si>
  <si>
    <t>Voortgezet</t>
  </si>
  <si>
    <t>Deeltijdpensioen</t>
  </si>
  <si>
    <t>Pensioengegevens:</t>
  </si>
  <si>
    <t>Pensioengevend salaris:</t>
  </si>
  <si>
    <t>Franchise:</t>
  </si>
  <si>
    <t>Deeltijdfactor:</t>
  </si>
  <si>
    <t>Voortzettingspercentage:</t>
  </si>
  <si>
    <t>Opbouw percentage:</t>
  </si>
  <si>
    <t>Opgebouwd:</t>
  </si>
  <si>
    <t>Te bereiken</t>
  </si>
  <si>
    <t>Confrontatie NPR-bericht(OP-Rente):</t>
  </si>
  <si>
    <t>TV1:</t>
  </si>
  <si>
    <t>TV2:</t>
  </si>
  <si>
    <t>TV3:</t>
  </si>
  <si>
    <t>TV4:</t>
  </si>
  <si>
    <t>TEST</t>
  </si>
  <si>
    <t>NPR-bericht</t>
  </si>
  <si>
    <t>Confrontatie</t>
  </si>
  <si>
    <t>NPR-Bericht</t>
  </si>
  <si>
    <t>FlexBedragTebereikenPensioen</t>
  </si>
  <si>
    <t>Confrontatie NPR-bericht(PP-Rente):</t>
  </si>
  <si>
    <t>Confrontatie NPR-bericht(WzP-Rente):</t>
  </si>
  <si>
    <t>TVOPR1</t>
  </si>
  <si>
    <t>TVPPR1</t>
  </si>
  <si>
    <t>Aantalfouten:</t>
  </si>
  <si>
    <t>Deelnemerstatus</t>
  </si>
  <si>
    <t>npr_dnb</t>
  </si>
  <si>
    <t>P0139</t>
  </si>
  <si>
    <t>Franchise</t>
  </si>
  <si>
    <t>Bepaling OP-Rente:</t>
  </si>
  <si>
    <t>Bepaling PP/WzP-Rente:</t>
  </si>
  <si>
    <t>PP bij overlijden voor pensioendatum:</t>
  </si>
  <si>
    <t>Status:</t>
  </si>
  <si>
    <t>Tijdvak:</t>
  </si>
  <si>
    <t>TVOPR2</t>
  </si>
  <si>
    <t>TVOPR3</t>
  </si>
  <si>
    <t>TVOPR4</t>
  </si>
  <si>
    <t>TVWzPR1</t>
  </si>
  <si>
    <t>PDTDEV</t>
  </si>
  <si>
    <t>pdtdev-oradbs01.dev.tkp</t>
  </si>
  <si>
    <t>PPSPRD</t>
  </si>
  <si>
    <t>rekendatum</t>
  </si>
  <si>
    <t>xGT6FKU95P</t>
  </si>
  <si>
    <t>X</t>
  </si>
  <si>
    <t>AOW_leeftijd</t>
  </si>
  <si>
    <t>Fiscale aftopping</t>
  </si>
  <si>
    <t>RANGE AOW-datum:</t>
  </si>
  <si>
    <t>AOW</t>
  </si>
  <si>
    <t>AOW_min_2</t>
  </si>
  <si>
    <t>Jaar</t>
  </si>
  <si>
    <t>Maand</t>
  </si>
  <si>
    <t>AOW_plus_1</t>
  </si>
  <si>
    <t>OP67 op AOW_min_2</t>
  </si>
  <si>
    <t>PP bij overlijden na pensioendatum:</t>
  </si>
  <si>
    <t>OP67 op AOW</t>
  </si>
  <si>
    <t>OP67 op AOW_plus_1</t>
  </si>
  <si>
    <t>Logische naam</t>
  </si>
  <si>
    <t>Omgeving:</t>
  </si>
  <si>
    <t>Navigeren</t>
  </si>
  <si>
    <t>Verhouding OP/PP</t>
  </si>
  <si>
    <t>pdtreg-oradbs02.tst.tkp</t>
  </si>
  <si>
    <t>pdtdev-oradbs02.prd.tkp</t>
  </si>
  <si>
    <t>Functie tester</t>
  </si>
  <si>
    <t>TVPPR4</t>
  </si>
  <si>
    <t>TVPPR3</t>
  </si>
  <si>
    <t>TVPPR2</t>
  </si>
  <si>
    <t>TVWzPR2</t>
  </si>
  <si>
    <t>TVWzPR3</t>
  </si>
  <si>
    <t>TVWzPR4</t>
  </si>
  <si>
    <t>Dubbel tijdvak</t>
  </si>
  <si>
    <t>Aantal fouten:</t>
  </si>
  <si>
    <t>DW_OP_uit_prepensioen</t>
  </si>
  <si>
    <t>FT_parttimepercentage_fictief</t>
  </si>
  <si>
    <t>FT_salaris_fictief_fulltime</t>
  </si>
  <si>
    <t>TR_Franchise_act</t>
  </si>
  <si>
    <t>DW_LOP_middelloon_incl_conv_fictief_uitruil</t>
  </si>
  <si>
    <t>TR_opbouwpercentage</t>
  </si>
  <si>
    <t>TR_datum_bereiken_pensioenlft</t>
  </si>
  <si>
    <t>TR_datum_bereiken_prepensioenlft</t>
  </si>
  <si>
    <t>FT_pensioengrondslag_vzt_ao</t>
  </si>
  <si>
    <t>TR_WIA_vzt</t>
  </si>
  <si>
    <t>TR_WAO_vzt</t>
  </si>
  <si>
    <t>pensioen_min_1</t>
  </si>
  <si>
    <t>DW_lop_actvzt_basis_standaard_4wk</t>
  </si>
  <si>
    <t>PP_middelloon</t>
  </si>
  <si>
    <t>LPP_risico_middelloon_toekomstig</t>
  </si>
  <si>
    <t>DW_lpp_slp_basis_voorgaande_jaren</t>
  </si>
  <si>
    <t>0.00000</t>
  </si>
  <si>
    <t>OP67:</t>
  </si>
  <si>
    <t>OP65:</t>
  </si>
  <si>
    <t>Duur:</t>
  </si>
  <si>
    <t>LOP toekomstig VZT:</t>
  </si>
  <si>
    <t>LOP toekomstig ACT:</t>
  </si>
  <si>
    <t>Deeltijdfactor VZT:</t>
  </si>
  <si>
    <t>Voortgang doorrekenen</t>
  </si>
  <si>
    <t>Marge</t>
  </si>
  <si>
    <t>Flex lop</t>
  </si>
  <si>
    <t>BRE Groep Drogisterij en Parfumerien</t>
  </si>
  <si>
    <t>BRE Groep Kantoor en Onderwijs</t>
  </si>
  <si>
    <t>BRE Groep Elektronica en Entertainment</t>
  </si>
  <si>
    <t>BRE Groep Mode en Sport</t>
  </si>
  <si>
    <t>BRE Groep Doe het zelf</t>
  </si>
  <si>
    <t>BRE Groep Voedsel, slijterijen en tabak</t>
  </si>
  <si>
    <t>BRE Groep Luxeartikelen en optiek</t>
  </si>
  <si>
    <t>BRE Groep Tuin, dieren en hengelsport</t>
  </si>
  <si>
    <t>BRE Groep Overig</t>
  </si>
  <si>
    <t>BRE Groep Niet aangesloten</t>
  </si>
  <si>
    <t>CAO Groep Drogisterij en Parfumerien</t>
  </si>
  <si>
    <t>CAO Groep Kantoor en Onderwijs</t>
  </si>
  <si>
    <t>CAO Groep Elektronica</t>
  </si>
  <si>
    <t>CAO Groep Warenhuizen</t>
  </si>
  <si>
    <t>CAO Groep Mode en Sport</t>
  </si>
  <si>
    <t>CAO Groep Doe het zelf</t>
  </si>
  <si>
    <t>CAO Groep Voedsel, slijterijen en tabak</t>
  </si>
  <si>
    <t>CAO Groep Luxeartikelen en optiek</t>
  </si>
  <si>
    <t>CAO Groep Tuin, dieren en hengelsport</t>
  </si>
  <si>
    <t>CAO Groep Groothandel in Textielgoederen</t>
  </si>
  <si>
    <t>CAO Groep Schoentechniek</t>
  </si>
  <si>
    <t>CAO Groep Resterend</t>
  </si>
  <si>
    <t>CAO Groep Vrijwillig aangesloten</t>
  </si>
  <si>
    <t>21489_AOW_lftjd</t>
  </si>
  <si>
    <t>Branchorganisatie_groepen_DTL</t>
  </si>
  <si>
    <t>23795_Brnchrgnst_grpn_DTL</t>
  </si>
  <si>
    <t>CAO_groepen_DTL</t>
  </si>
  <si>
    <t>23783_CAO_grpn_DTL</t>
  </si>
  <si>
    <t>Code_arbeidsverhouding_DTL</t>
  </si>
  <si>
    <t>24423_Cd_rbdsvrhdng_DTL</t>
  </si>
  <si>
    <t>DTL_inkoop_Maxeda_67_OP_70PP</t>
  </si>
  <si>
    <t>24531_DTL_nkp_Mxd_67_OP_70PP</t>
  </si>
  <si>
    <t>DTL_inkoop_Vrijwillig_67_OP_70PP</t>
  </si>
  <si>
    <t>24532_DTL_nkp_Vrjwllg_67_OP_70</t>
  </si>
  <si>
    <t>Flex_LOP_65_DTL</t>
  </si>
  <si>
    <t>24528_Flx_LOP_65_DTL</t>
  </si>
  <si>
    <t>Flex_LOP_67_DTL</t>
  </si>
  <si>
    <t>24526_Flx_LOP_67_DTL</t>
  </si>
  <si>
    <t>Flex_PREP_DTL</t>
  </si>
  <si>
    <t>26863_Flx_PREP_DTL</t>
  </si>
  <si>
    <t>Hoog_DTL_1</t>
  </si>
  <si>
    <t>24561_Hg_DTL_1</t>
  </si>
  <si>
    <t>Hoog_DTL_10</t>
  </si>
  <si>
    <t>24570_Hg_DTL_10</t>
  </si>
  <si>
    <t>Hoog_DTL_108</t>
  </si>
  <si>
    <t>24580_Hg_DTL_108</t>
  </si>
  <si>
    <t>Hoog_DTL_11</t>
  </si>
  <si>
    <t>24571_Hg_DTL_11</t>
  </si>
  <si>
    <t>Hoog_DTL_12</t>
  </si>
  <si>
    <t>24572_Hg_DTL_12</t>
  </si>
  <si>
    <t>Hoog_DTL_120</t>
  </si>
  <si>
    <t>24581_Hg_DTL_120</t>
  </si>
  <si>
    <t>Hoog_DTL_132</t>
  </si>
  <si>
    <t>24582_Hg_DTL_132</t>
  </si>
  <si>
    <t>Hoog_DTL_144</t>
  </si>
  <si>
    <t>24583_Hg_DTL_144</t>
  </si>
  <si>
    <t>Hoog_DTL_2</t>
  </si>
  <si>
    <t>24562_Hg_DTL_2</t>
  </si>
  <si>
    <t>Hoog_DTL_24</t>
  </si>
  <si>
    <t>24573_Hg_DTL_24</t>
  </si>
  <si>
    <t>Hoog_DTL_3</t>
  </si>
  <si>
    <t>24563_Hg_DTL_3</t>
  </si>
  <si>
    <t>Hoog_DTL_36</t>
  </si>
  <si>
    <t>24574_Hg_DTL_36</t>
  </si>
  <si>
    <t>Hoog_DTL_4</t>
  </si>
  <si>
    <t>24564_Hg_DTL_4</t>
  </si>
  <si>
    <t>Hoog_DTL_48</t>
  </si>
  <si>
    <t>24575_Hg_DTL_48</t>
  </si>
  <si>
    <t>Hoog_DTL_5</t>
  </si>
  <si>
    <t>24565_Hg_DTL_5</t>
  </si>
  <si>
    <t>Hoog_DTL_6</t>
  </si>
  <si>
    <t>24566_Hg_DTL_6</t>
  </si>
  <si>
    <t>Hoog_DTL_60</t>
  </si>
  <si>
    <t>24576_Hg_DTL_60</t>
  </si>
  <si>
    <t>Hoog_DTL_7</t>
  </si>
  <si>
    <t>24567_Hg_DTL_7</t>
  </si>
  <si>
    <t>Hoog_DTL_72</t>
  </si>
  <si>
    <t>24577_Hg_DTL_72</t>
  </si>
  <si>
    <t>Hoog_DTL_8</t>
  </si>
  <si>
    <t>24568_Hg_DTL_8</t>
  </si>
  <si>
    <t>Hoog_DTL_84</t>
  </si>
  <si>
    <t>24578_Hg_DTL_84</t>
  </si>
  <si>
    <t>Hoog_DTL_9</t>
  </si>
  <si>
    <t>24569_Hg_DTL_9</t>
  </si>
  <si>
    <t>Hoog_DTL_96</t>
  </si>
  <si>
    <t>24579_Hg_DTL_96</t>
  </si>
  <si>
    <t>Inkoop_Optiek_100_70_DTL</t>
  </si>
  <si>
    <t>25025_Inkp_Optk_100_70_DTL</t>
  </si>
  <si>
    <t>Inkoop_Optiek_DTL</t>
  </si>
  <si>
    <t>25028_Inkp_Optk_DTL</t>
  </si>
  <si>
    <t>Laag_DTL_1</t>
  </si>
  <si>
    <t>24503_Lg_DTL_1</t>
  </si>
  <si>
    <t>Laag_DTL_10</t>
  </si>
  <si>
    <t>24512_Lg_DTL_10</t>
  </si>
  <si>
    <t>Laag_DTL_108</t>
  </si>
  <si>
    <t>24522_Lg_DTL_108</t>
  </si>
  <si>
    <t>Laag_DTL_11</t>
  </si>
  <si>
    <t>24513_Lg_DTL_11</t>
  </si>
  <si>
    <t>Laag_DTL_12</t>
  </si>
  <si>
    <t>24514_Lg_DTL_12</t>
  </si>
  <si>
    <t>Laag_DTL_120</t>
  </si>
  <si>
    <t>24523_Lg_DTL_120</t>
  </si>
  <si>
    <t>Laag_DTL_132</t>
  </si>
  <si>
    <t>24524_Lg_DTL_132</t>
  </si>
  <si>
    <t>Laag_DTL_144</t>
  </si>
  <si>
    <t>24525_Lg_DTL_144</t>
  </si>
  <si>
    <t>Laag_DTL_2</t>
  </si>
  <si>
    <t>24504_Lg_DTL_2</t>
  </si>
  <si>
    <t>Laag_DTL_24</t>
  </si>
  <si>
    <t>24515_Lg_DTL_24</t>
  </si>
  <si>
    <t>Laag_DTL_3</t>
  </si>
  <si>
    <t>24505_Lg_DTL_3</t>
  </si>
  <si>
    <t>Laag_DTL_36</t>
  </si>
  <si>
    <t>24516_Lg_DTL_36</t>
  </si>
  <si>
    <t>Laag_DTL_4</t>
  </si>
  <si>
    <t>24506_Lg_DTL_4</t>
  </si>
  <si>
    <t>Laag_DTL_48</t>
  </si>
  <si>
    <t>24517_Lg_DTL_48</t>
  </si>
  <si>
    <t>Laag_DTL_5</t>
  </si>
  <si>
    <t>24507_Lg_DTL_5</t>
  </si>
  <si>
    <t>Laag_DTL_6</t>
  </si>
  <si>
    <t>24508_Lg_DTL_6</t>
  </si>
  <si>
    <t>Laag_DTL_60</t>
  </si>
  <si>
    <t>24518_Lg_DTL_60</t>
  </si>
  <si>
    <t>Laag_DTL_7</t>
  </si>
  <si>
    <t>24509_Lg_DTL_7</t>
  </si>
  <si>
    <t>Laag_DTL_72</t>
  </si>
  <si>
    <t>24519_Lg_DTL_72</t>
  </si>
  <si>
    <t>Laag_DTL_8</t>
  </si>
  <si>
    <t>24510_Lg_DTL_8</t>
  </si>
  <si>
    <t>Laag_DTL_84</t>
  </si>
  <si>
    <t>24520_Lg_DTL_84</t>
  </si>
  <si>
    <t>Laag_DTL_9</t>
  </si>
  <si>
    <t>24511_Lg_DTL_9</t>
  </si>
  <si>
    <t>Laag_DTL_96</t>
  </si>
  <si>
    <t>24521_Lg_DTL_96</t>
  </si>
  <si>
    <t>Normuren_CAO_DTL</t>
  </si>
  <si>
    <t>24424_Nrmrn_CAO_DTL</t>
  </si>
  <si>
    <t>Omzetting_PREP_LOP65_DTL</t>
  </si>
  <si>
    <t>26864_Omzttng_PREP_LOP65_DTL</t>
  </si>
  <si>
    <t>Omzetting_PREP_LOP67_DTL</t>
  </si>
  <si>
    <t>26865_Omzttng_PREP_LOP67_DTL</t>
  </si>
  <si>
    <t>Rekenwaarden_algemeen_FUT</t>
  </si>
  <si>
    <t>TOP_uit_OP_ingegaan_DTL_780</t>
  </si>
  <si>
    <t>24533_TOP_t_OP_nggn_DTL_780</t>
  </si>
  <si>
    <t>TOP_uit_OP_ingegaan_DTL_781</t>
  </si>
  <si>
    <t>24534_TOP_t_OP_nggn_DTL_781</t>
  </si>
  <si>
    <t>TOP_uit_OP_ingegaan_DTL_782</t>
  </si>
  <si>
    <t>24535_TOP_t_OP_nggn_DTL_782</t>
  </si>
  <si>
    <t>TOP_uit_OP_ingegaan_DTL_783</t>
  </si>
  <si>
    <t>24536_TOP_t_OP_nggn_DTL_783</t>
  </si>
  <si>
    <t>TOP_uit_OP_ingegaan_DTL_784</t>
  </si>
  <si>
    <t>24537_TOP_t_OP_nggn_DTL_784</t>
  </si>
  <si>
    <t>TOP_uit_OP_ingegaan_DTL_785</t>
  </si>
  <si>
    <t>24538_TOP_t_OP_nggn_DTL_785</t>
  </si>
  <si>
    <t>TOP_uit_OP_ingegaan_DTL_786</t>
  </si>
  <si>
    <t>24539_TOP_t_OP_nggn_DTL_786</t>
  </si>
  <si>
    <t>TOP_uit_OP_ingegaan_DTL_787</t>
  </si>
  <si>
    <t>24540_TOP_t_OP_nggn_DTL_787</t>
  </si>
  <si>
    <t>TOP_uit_OP_ingegaan_DTL_788</t>
  </si>
  <si>
    <t>24541_TOP_t_OP_nggn_DTL_788</t>
  </si>
  <si>
    <t>TOP_uit_OP_ingegaan_DTL_789</t>
  </si>
  <si>
    <t>24542_TOP_t_OP_nggn_DTL_789</t>
  </si>
  <si>
    <t>TOP_uit_OP_ingegaan_DTL_790</t>
  </si>
  <si>
    <t>24543_TOP_t_OP_nggn_DTL_790</t>
  </si>
  <si>
    <t>TOP_uit_OP_ingegaan_DTL_791</t>
  </si>
  <si>
    <t>24544_TOP_t_OP_nggn_DTL_791</t>
  </si>
  <si>
    <t>TOP_uit_OP_ingegaan_DTL_792</t>
  </si>
  <si>
    <t>24545_TOP_t_OP_nggn_DTL_792</t>
  </si>
  <si>
    <t>TOP_uit_OP_ingegaan_DTL_793</t>
  </si>
  <si>
    <t>24546_TOP_t_OP_nggn_DTL_793</t>
  </si>
  <si>
    <t>TOP_uit_OP_ingegaan_DTL_794</t>
  </si>
  <si>
    <t>24547_TOP_t_OP_nggn_DTL_794</t>
  </si>
  <si>
    <t>TOP_uit_OP_ingegaan_DTL_795</t>
  </si>
  <si>
    <t>24548_TOP_t_OP_nggn_DTL_795</t>
  </si>
  <si>
    <t>TOP_uit_OP_ingegaan_DTL_796</t>
  </si>
  <si>
    <t>24549_TOP_t_OP_nggn_DTL_796</t>
  </si>
  <si>
    <t>TOP_uit_OP_ingegaan_DTL_797</t>
  </si>
  <si>
    <t>24550_TOP_t_OP_nggn_DTL_797</t>
  </si>
  <si>
    <t>TOP_uit_OP_ingegaan_DTL_798</t>
  </si>
  <si>
    <t>24551_TOP_t_OP_nggn_DTL_798</t>
  </si>
  <si>
    <t>TOP_uit_OP_ingegaan_DTL_799</t>
  </si>
  <si>
    <t>24552_TOP_t_OP_nggn_DTL_799</t>
  </si>
  <si>
    <t>TOP_uit_OP_ingegaan_DTL_800</t>
  </si>
  <si>
    <t>24553_TOP_t_OP_nggn_DTL_800</t>
  </si>
  <si>
    <t>TOP_uit_OP_ingegaan_DTL_801</t>
  </si>
  <si>
    <t>24554_TOP_t_OP_nggn_DTL_801</t>
  </si>
  <si>
    <t>TOP_uit_OP_ingegaan_DTL_802</t>
  </si>
  <si>
    <t>24555_TOP_t_OP_nggn_DTL_802</t>
  </si>
  <si>
    <t>TOP_uit_OP_ingegaan_DTL_803</t>
  </si>
  <si>
    <t>24556_TOP_t_OP_nggn_DTL_803</t>
  </si>
  <si>
    <t>TOP_uit_OP_ingegaan_DTL_804</t>
  </si>
  <si>
    <t>24557_TOP_t_OP_nggn_DTL_804</t>
  </si>
  <si>
    <t>TOP_uit_OP_ingegaan_DTL_805</t>
  </si>
  <si>
    <t>24558_TOP_t_OP_nggn_DTL_805</t>
  </si>
  <si>
    <t>TOP_uit_OP_ingegaan_DTL_806</t>
  </si>
  <si>
    <t>28025_TOP_t_OP_nggn_DTL_806</t>
  </si>
  <si>
    <t>TOP_uit_OP_ingegaan_DTL_807</t>
  </si>
  <si>
    <t>28026_TOP_t_OP_nggn_DTL_807</t>
  </si>
  <si>
    <t>TOP_uit_OP_ingegaan_DTL_808</t>
  </si>
  <si>
    <t>28027_TOP_t_OP_nggn_DTL_808</t>
  </si>
  <si>
    <t>TOP_uit_OP_ingegaan_DTL_809</t>
  </si>
  <si>
    <t>28028_TOP_t_OP_nggn_DTL_809</t>
  </si>
  <si>
    <t>TOP_uit_OP_ingegaan_DTL_810</t>
  </si>
  <si>
    <t>28029_TOP_t_OP_nggn_DTL_810</t>
  </si>
  <si>
    <t>TOP_uit_OP_ingegaan_DTL_811</t>
  </si>
  <si>
    <t>28030_TOP_t_OP_nggn_DTL_811</t>
  </si>
  <si>
    <t>TOP_uit_OP_ingegaan_DTL_812</t>
  </si>
  <si>
    <t>28031_TOP_t_OP_nggn_DTL_812</t>
  </si>
  <si>
    <t>TOP_uit_OP_ingegaan_DTL_813</t>
  </si>
  <si>
    <t>28032_TOP_t_OP_nggn_DTL_813</t>
  </si>
  <si>
    <t>TOP_uit_OP_ingegaan_DTL_814</t>
  </si>
  <si>
    <t>28033_TOP_t_OP_nggn_DTL_814</t>
  </si>
  <si>
    <t>TOP_uit_OP_ingegaan_DTL_815</t>
  </si>
  <si>
    <t>28034_TOP_t_OP_nggn_DTL_815</t>
  </si>
  <si>
    <t>TOP_uit_OP_ingegaan_DTL_816</t>
  </si>
  <si>
    <t>28035_TOP_t_OP_nggn_DTL_816</t>
  </si>
  <si>
    <t>Uitruil_OP65_PP_uit_dienst_DTL</t>
  </si>
  <si>
    <t>24529_Utrl_OP65_PP_t_dnst_DTL</t>
  </si>
  <si>
    <t>Uitruil_OP67_PP_uit_dienst_DTL</t>
  </si>
  <si>
    <t>24527_Utrl_OP67_PP_t_dnst_DTL</t>
  </si>
  <si>
    <t>Uitruil_OP_PP_65_DTL</t>
  </si>
  <si>
    <t>28036_Utrl_OP_PP_65_DTL</t>
  </si>
  <si>
    <t>Uitruil_OP_PP_DTL</t>
  </si>
  <si>
    <t>24559_Utrl_OP_PP_DTL</t>
  </si>
  <si>
    <t>Uitruil_PP_OP_DTL</t>
  </si>
  <si>
    <t>24560_Utrl_PP_OP_DTL</t>
  </si>
  <si>
    <t>Uitruil_PREP_LOP65_DTL</t>
  </si>
  <si>
    <t>25026_Utrl_PREP_LOP65_DTL</t>
  </si>
  <si>
    <t>Uitruil_PREP_LOP67_DTL</t>
  </si>
  <si>
    <t>25027_Utrl_PREP_LOP67_DTL</t>
  </si>
  <si>
    <t>Uitstelfactor_OP65_OP67_DTL</t>
  </si>
  <si>
    <t>24530_Utstlfctr_OP65_OP67_DTL</t>
  </si>
  <si>
    <t>WAO_voortzetting_DTL</t>
  </si>
  <si>
    <t>25024_WAO_vrtzttng_DTL</t>
  </si>
  <si>
    <t>WIA_voortzetting_DTL</t>
  </si>
  <si>
    <t>25023_WIA_vrtzttng_DTL</t>
  </si>
  <si>
    <t>LOP op AOWflex te bereiken:</t>
  </si>
  <si>
    <t>LOP op AOWflex opgebouwd:</t>
  </si>
  <si>
    <t>PP_middelloon:</t>
  </si>
  <si>
    <t>PP_middelloon_oud:</t>
  </si>
  <si>
    <t>PP_middelloon_oud</t>
  </si>
  <si>
    <t>PP_excedent</t>
  </si>
  <si>
    <t>LPP_risico_excedent_toekomstig</t>
  </si>
  <si>
    <t>WZP:</t>
  </si>
  <si>
    <t>WzP_middelloon</t>
  </si>
  <si>
    <t>WzP_excedent</t>
  </si>
  <si>
    <t>WzP_oud</t>
  </si>
  <si>
    <t>WzP_middelloon:</t>
  </si>
  <si>
    <t>WzP_excedent:</t>
  </si>
  <si>
    <t>VerzekerdPP</t>
  </si>
  <si>
    <t>OpgebouwdPP</t>
  </si>
  <si>
    <t>VerzekerdWzP</t>
  </si>
  <si>
    <t>OpgebouwdWzP</t>
  </si>
  <si>
    <t>LOP op AOWmin2 opgebouwd:</t>
  </si>
  <si>
    <t>LOP op AOWmin2 te bereiken:</t>
  </si>
  <si>
    <t>LOP op AOW opgebouwd:</t>
  </si>
  <si>
    <t>LOP op AOW te bereiken:</t>
  </si>
  <si>
    <t>DW_WzP_opgebouwd_totaal</t>
  </si>
  <si>
    <t>WzP_middelloon_opgebouwd:</t>
  </si>
  <si>
    <t>Pensioendatum:</t>
  </si>
  <si>
    <t>Pensioengrondslag_ACT:</t>
  </si>
  <si>
    <t>LOP_middelloon_oud</t>
  </si>
  <si>
    <t>WzP_oud:</t>
  </si>
  <si>
    <t>LOP_middelloon_oud:</t>
  </si>
  <si>
    <t>Duur VZT:</t>
  </si>
  <si>
    <t>Status</t>
  </si>
  <si>
    <t>test</t>
  </si>
  <si>
    <t>Duur VZT risicodeel:</t>
  </si>
  <si>
    <t>LPP_risico_middelloon_toekomstig_AO_voor AOW datum</t>
  </si>
  <si>
    <t>%</t>
  </si>
  <si>
    <t>P0525</t>
  </si>
  <si>
    <t>P0765</t>
  </si>
  <si>
    <t>P0997</t>
  </si>
  <si>
    <t>P0998</t>
  </si>
  <si>
    <t>P1529</t>
  </si>
  <si>
    <t>blablabl</t>
  </si>
  <si>
    <t>P2344</t>
  </si>
  <si>
    <t>P2258</t>
  </si>
  <si>
    <t>LOP_excedent</t>
  </si>
  <si>
    <t>Pensioengrondslag_ACT_excedent:</t>
  </si>
  <si>
    <t>FT_salaris_excedent_fictief_fulltime</t>
  </si>
  <si>
    <t>TR_parttimepercentage_verlof_4wk</t>
  </si>
  <si>
    <t>TR_parttimepercentage_verlof_mnd</t>
  </si>
  <si>
    <t>TR_parttimeperc_ao_mnd</t>
  </si>
  <si>
    <t>TR_parttimeperc_ao_4wk</t>
  </si>
  <si>
    <t>FT_parttimepercentage_vzt_vrijw</t>
  </si>
  <si>
    <t>TOP</t>
  </si>
  <si>
    <t>TOP_tot_AOW</t>
  </si>
  <si>
    <t>Prepensioen</t>
  </si>
  <si>
    <t>Ouderdomspensioen_tijdelijk_hoog_laag</t>
  </si>
  <si>
    <t>Ouderdomspensioen_tijdelijk_hoog_laag_oud</t>
  </si>
  <si>
    <t>TR_Einddatum_TOP_tot_AOW</t>
  </si>
  <si>
    <t>TR_Einddatum_prepensioen</t>
  </si>
  <si>
    <t>TR_datum_wijziging_hooglaag</t>
  </si>
  <si>
    <t>TR_datum_wijziging_hooglaag_oud</t>
  </si>
  <si>
    <t>DW_pensioengrondslag_aanwas_ao_4wk</t>
  </si>
  <si>
    <t>DW_pensioengrondslag_aanwas_ao_mnd</t>
  </si>
  <si>
    <t>DW_lop_vzt_verlof_basis_standaard_4wk</t>
  </si>
  <si>
    <t>DW_lop_vzt_verlof_basis_standaard_mnd</t>
  </si>
  <si>
    <t>DW_pensioengrondslag_aanwas_vrijwillig_4wk</t>
  </si>
  <si>
    <t>DW_pensioengrondslag_aanwas_vrijwillig_mnd</t>
  </si>
  <si>
    <t>Pensioengevend salaris Excedent:</t>
  </si>
  <si>
    <t>Excedentgrens:</t>
  </si>
  <si>
    <t>TR_loon_max_opbouw</t>
  </si>
  <si>
    <t>TR_maximum_loon</t>
  </si>
  <si>
    <t>Pensioengrondslag_VTZ_AO:</t>
  </si>
  <si>
    <t>DW_lop_exc_actvzt_basis_standaard_mnd</t>
  </si>
  <si>
    <t>PP_excedent:</t>
  </si>
  <si>
    <t>WzP_excedent_opgeb</t>
  </si>
  <si>
    <t>DW_WzP_excedent_opgebouwd_totaal</t>
  </si>
  <si>
    <t>LOP_exc_toekomstig_ACT</t>
  </si>
  <si>
    <t>iekruoonsg</t>
  </si>
  <si>
    <t>krokus_kijker</t>
  </si>
  <si>
    <t>npr_codetabel_xml</t>
  </si>
  <si>
    <t>28763_Rknwrdn_lgmn_FUT</t>
  </si>
  <si>
    <t>DW_prepensioen_uitk_basis_standaard</t>
  </si>
  <si>
    <t>TR_datum_ingang_prepensioen</t>
  </si>
  <si>
    <t>Prep</t>
  </si>
  <si>
    <t>Omzetting Prep 60=&gt;67</t>
  </si>
  <si>
    <t>Saldo_zacht_pensioen</t>
  </si>
  <si>
    <t>Zacht_Pensioen</t>
  </si>
  <si>
    <t>PP_zacht_pensioen</t>
  </si>
  <si>
    <t>Optiek</t>
  </si>
  <si>
    <t>VPL Schoen</t>
  </si>
  <si>
    <t>Maxeda</t>
  </si>
  <si>
    <t>Omzetting 65=&gt;67</t>
  </si>
  <si>
    <t>Inkoop Optiek</t>
  </si>
  <si>
    <t>DW_lop_actvzt_basis_fictief_4wk</t>
  </si>
  <si>
    <t>DW_lop_actvzt_basis_fictief_mnd</t>
  </si>
  <si>
    <t>DW_lop_exc_actvzt_basis_fictief_4wk</t>
  </si>
  <si>
    <t>DW_lop_exc_actvzt_basis_fictief_mnd</t>
  </si>
  <si>
    <t>Maxeda nog te bereiken</t>
  </si>
  <si>
    <t>AOW_datum exact</t>
  </si>
  <si>
    <t>VerzekerdWzP na pens</t>
  </si>
  <si>
    <t>Is deelnemer AO?</t>
  </si>
  <si>
    <t>FT_pensioengrondslag_exc_vzt_ao</t>
  </si>
  <si>
    <t>Pensioengrondslag_VTZ_AO_excedent:</t>
  </si>
  <si>
    <t>LOP_exc_toekomstig VZT:</t>
  </si>
  <si>
    <t>1</t>
  </si>
  <si>
    <t>mevrouw</t>
  </si>
  <si>
    <t>V</t>
  </si>
  <si>
    <t>52</t>
  </si>
  <si>
    <t>V.B.M. Wouters</t>
  </si>
  <si>
    <t>Wouters</t>
  </si>
  <si>
    <t>Herculeshof 33 E</t>
  </si>
  <si>
    <t>6215 BG MAASTRICHT</t>
  </si>
  <si>
    <t>6215BG33</t>
  </si>
  <si>
    <t>20337050</t>
  </si>
  <si>
    <t>2007-12-03</t>
  </si>
  <si>
    <t>2036-04-01</t>
  </si>
  <si>
    <t>2029-04-01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</si>
</sst>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_(* #,##0_);_(* \(#,##0\);_(* &quot;-&quot;_);_(@_)"/>
    <numFmt numFmtId="165" formatCode="_(&quot;$&quot;* #,##0.00_);_(&quot;$&quot;* \(#,##0.00\);_(&quot;$&quot;* &quot;-&quot;??_);_(@_)"/>
    <numFmt numFmtId="166" formatCode="_(* #,##0.00_);_(* \(#,##0.00\);_(* &quot;-&quot;??_);_(@_)"/>
    <numFmt numFmtId="167" formatCode="_-* #,##0.00_-;_-* #,##0.00\-;_-* &quot;-&quot;??_-;_-@_-"/>
    <numFmt numFmtId="168" formatCode="_-* #,##0.00_-;\-* #,##0.00_-;_-* &quot;-&quot;??_-;_-@_-"/>
    <numFmt numFmtId="169" formatCode="_-&quot;£&quot;* #,##0.00_-;\-&quot;£&quot;* #,##0.00_-;_-&quot;£&quot;* &quot;-&quot;??_-;_-@_-"/>
    <numFmt numFmtId="170" formatCode="0.000%"/>
    <numFmt numFmtId="171" formatCode="0.0000"/>
    <numFmt numFmtId="172" formatCode="_ * #,##0.000_ ;_ * \-#,##0.000_ ;_ * &quot;-&quot;??_ ;_ @_ "/>
    <numFmt numFmtId="173" formatCode="_ * #,##0.0_ ;_ * \-#,##0.0_ ;_ * &quot;-&quot;??_ ;_ @_ "/>
    <numFmt numFmtId="174" formatCode="_-&quot;$&quot;\ * #,##0.00_-;_-&quot;$&quot;\ * #,##0.00\-;_-&quot;$&quot;\ * &quot;-&quot;??_-;_-@_-"/>
    <numFmt numFmtId="175" formatCode="_-[$€]\ * #,##0.00_-;_-[$€]\ * #,##0.00\-;_-[$€]\ * &quot;-&quot;??_-;_-@_-"/>
    <numFmt numFmtId="176" formatCode="_-&quot;$&quot;\ * #.##0.00_-;_-&quot;$&quot;\ * #.##0.00\-;_-&quot;$&quot;\ * &quot;-&quot;??_-;_-@_-"/>
    <numFmt numFmtId="177" formatCode="[$-F800]dddd\,\ mmmm\ dd\,\ yyyy"/>
  </numFmts>
  <fonts count="87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b/>
      <sz val="10"/>
      <color theme="1"/>
      <name val="Verdana"/>
      <family val="2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3" tint="-0.499984740745262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0"/>
      <color theme="1"/>
      <name val="Verdana"/>
      <family val="2"/>
    </font>
    <font>
      <sz val="10"/>
      <color theme="0"/>
      <name val="Verdana"/>
      <family val="2"/>
    </font>
    <font>
      <b/>
      <sz val="10"/>
      <color rgb="FFFA7D00"/>
      <name val="Verdana"/>
      <family val="2"/>
    </font>
    <font>
      <b/>
      <sz val="10"/>
      <color theme="0"/>
      <name val="Verdana"/>
      <family val="2"/>
    </font>
    <font>
      <sz val="10"/>
      <color rgb="FFFA7D00"/>
      <name val="Verdana"/>
      <family val="2"/>
    </font>
    <font>
      <sz val="10"/>
      <color rgb="FF006100"/>
      <name val="Verdana"/>
      <family val="2"/>
    </font>
    <font>
      <sz val="10"/>
      <color rgb="FF3F3F76"/>
      <name val="Verdana"/>
      <family val="2"/>
    </font>
    <font>
      <sz val="10"/>
      <name val="Arial"/>
      <family val="2"/>
    </font>
    <font>
      <sz val="9"/>
      <name val="Verdana"/>
      <family val="2"/>
    </font>
    <font>
      <b/>
      <sz val="15"/>
      <color theme="3"/>
      <name val="Verdana"/>
      <family val="2"/>
    </font>
    <font>
      <b/>
      <sz val="13"/>
      <color theme="3"/>
      <name val="Verdana"/>
      <family val="2"/>
    </font>
    <font>
      <b/>
      <sz val="11"/>
      <color theme="3"/>
      <name val="Verdana"/>
      <family val="2"/>
    </font>
    <font>
      <sz val="10"/>
      <color rgb="FF9C6500"/>
      <name val="Verdana"/>
      <family val="2"/>
    </font>
    <font>
      <sz val="10"/>
      <color rgb="FF9C0006"/>
      <name val="Verdana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8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0"/>
      <color rgb="FF3F3F3F"/>
      <name val="Verdana"/>
      <family val="2"/>
    </font>
    <font>
      <i/>
      <sz val="10"/>
      <color rgb="FF7F7F7F"/>
      <name val="Verdana"/>
      <family val="2"/>
    </font>
    <font>
      <sz val="10"/>
      <color rgb="FFFF0000"/>
      <name val="Verdana"/>
      <family val="2"/>
    </font>
    <font>
      <b/>
      <u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LinePrinter"/>
    </font>
    <font>
      <sz val="11"/>
      <color indexed="8"/>
      <name val="Calibri"/>
      <family val="2"/>
      <scheme val="minor"/>
    </font>
    <font>
      <u/>
      <sz val="11"/>
      <color theme="10"/>
      <name val="Calibri"/>
      <family val="2"/>
    </font>
    <font>
      <sz val="12"/>
      <name val="Times New Roman"/>
      <family val="1"/>
    </font>
    <font>
      <sz val="8"/>
      <color indexed="8"/>
      <name val="Arial"/>
      <family val="2"/>
    </font>
    <font>
      <sz val="10"/>
      <color theme="1"/>
      <name val="Arial"/>
      <family val="2"/>
    </font>
    <font>
      <sz val="10"/>
      <name val="Helv"/>
    </font>
    <font>
      <sz val="10"/>
      <color indexed="21"/>
      <name val="Arial"/>
      <family val="2"/>
    </font>
  </fonts>
  <fills count="4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A9FC9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64"/>
      </patternFill>
    </fill>
  </fills>
  <borders count="64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/>
      <top/>
      <bottom style="thick">
        <color theme="3" tint="0.59996337778862885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rgb="FF7F7F7F"/>
      </top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 style="thick">
        <color theme="3" tint="0.59996337778862885"/>
      </top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 style="medium">
        <color theme="1" tint="0.14996795556505021"/>
      </right>
      <top/>
      <bottom/>
      <diagonal/>
    </border>
    <border>
      <left/>
      <right style="medium">
        <color theme="1" tint="0.14996795556505021"/>
      </right>
      <top style="thin">
        <color auto="1"/>
      </top>
      <bottom/>
      <diagonal/>
    </border>
    <border>
      <left/>
      <right style="medium">
        <color theme="1" tint="0.14996795556505021"/>
      </right>
      <top/>
      <bottom style="thin">
        <color auto="1"/>
      </bottom>
      <diagonal/>
    </border>
    <border>
      <left/>
      <right style="medium">
        <color theme="1" tint="0.14996795556505021"/>
      </right>
      <top/>
      <bottom style="thick">
        <color theme="4" tint="0.499984740745262"/>
      </bottom>
      <diagonal/>
    </border>
    <border>
      <left style="thin">
        <color theme="1" tint="0.34998626667073579"/>
      </left>
      <right style="medium">
        <color theme="1" tint="0.14996795556505021"/>
      </right>
      <top/>
      <bottom style="thin">
        <color theme="1" tint="0.34998626667073579"/>
      </bottom>
      <diagonal/>
    </border>
    <border>
      <left style="thin">
        <color theme="1" tint="0.34998626667073579"/>
      </left>
      <right style="medium">
        <color theme="1" tint="0.14996795556505021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rgb="FF7F7F7F"/>
      </left>
      <right/>
      <top style="thick">
        <color theme="4" tint="0.499984740745262"/>
      </top>
      <bottom/>
      <diagonal/>
    </border>
    <border>
      <left style="thin">
        <color rgb="FF7F7F7F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ck">
        <color theme="3" tint="0.59996337778862885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1202">
    <xf numFmtId="0" fontId="0" fillId="0" borderId="0"/>
    <xf numFmtId="0" fontId="29" fillId="0" borderId="0"/>
    <xf numFmtId="0" fontId="33" fillId="0" borderId="1" applyNumberFormat="0" applyFill="0" applyAlignment="0" applyProtection="0"/>
    <xf numFmtId="0" fontId="34" fillId="2" borderId="0" applyNumberFormat="0" applyBorder="0" applyAlignment="0" applyProtection="0"/>
    <xf numFmtId="0" fontId="35" fillId="3" borderId="0" applyNumberFormat="0" applyBorder="0" applyAlignment="0" applyProtection="0"/>
    <xf numFmtId="0" fontId="36" fillId="4" borderId="0" applyNumberFormat="0" applyBorder="0" applyAlignment="0" applyProtection="0"/>
    <xf numFmtId="0" fontId="37" fillId="5" borderId="2" applyNumberFormat="0" applyAlignment="0" applyProtection="0"/>
    <xf numFmtId="0" fontId="38" fillId="6" borderId="2" applyNumberFormat="0" applyAlignment="0" applyProtection="0"/>
    <xf numFmtId="0" fontId="39" fillId="7" borderId="0" applyNumberFormat="0" applyBorder="0" applyAlignment="0" applyProtection="0"/>
    <xf numFmtId="0" fontId="26" fillId="0" borderId="0"/>
    <xf numFmtId="0" fontId="26" fillId="0" borderId="0"/>
    <xf numFmtId="166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0" fontId="45" fillId="0" borderId="0" applyNumberFormat="0" applyFill="0" applyBorder="0" applyAlignment="0" applyProtection="0"/>
    <xf numFmtId="0" fontId="46" fillId="0" borderId="36" applyNumberFormat="0" applyFill="0" applyAlignment="0" applyProtection="0"/>
    <xf numFmtId="0" fontId="47" fillId="0" borderId="37" applyNumberFormat="0" applyFill="0" applyAlignment="0" applyProtection="0"/>
    <xf numFmtId="0" fontId="47" fillId="0" borderId="0" applyNumberFormat="0" applyFill="0" applyBorder="0" applyAlignment="0" applyProtection="0"/>
    <xf numFmtId="0" fontId="48" fillId="6" borderId="38" applyNumberFormat="0" applyAlignment="0" applyProtection="0"/>
    <xf numFmtId="0" fontId="49" fillId="0" borderId="39" applyNumberFormat="0" applyFill="0" applyAlignment="0" applyProtection="0"/>
    <xf numFmtId="0" fontId="50" fillId="13" borderId="40" applyNumberFormat="0" applyAlignment="0" applyProtection="0"/>
    <xf numFmtId="0" fontId="51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3" fillId="0" borderId="42" applyNumberFormat="0" applyFill="0" applyAlignment="0" applyProtection="0"/>
    <xf numFmtId="0" fontId="39" fillId="15" borderId="0" applyNumberFormat="0" applyBorder="0" applyAlignment="0" applyProtection="0"/>
    <xf numFmtId="0" fontId="25" fillId="16" borderId="0" applyNumberFormat="0" applyBorder="0" applyAlignment="0" applyProtection="0"/>
    <xf numFmtId="0" fontId="25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25" fillId="20" borderId="0" applyNumberFormat="0" applyBorder="0" applyAlignment="0" applyProtection="0"/>
    <xf numFmtId="0" fontId="25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25" fillId="24" borderId="0" applyNumberFormat="0" applyBorder="0" applyAlignment="0" applyProtection="0"/>
    <xf numFmtId="0" fontId="25" fillId="25" borderId="0" applyNumberFormat="0" applyBorder="0" applyAlignment="0" applyProtection="0"/>
    <xf numFmtId="0" fontId="39" fillId="26" borderId="0" applyNumberFormat="0" applyBorder="0" applyAlignment="0" applyProtection="0"/>
    <xf numFmtId="0" fontId="39" fillId="27" borderId="0" applyNumberFormat="0" applyBorder="0" applyAlignment="0" applyProtection="0"/>
    <xf numFmtId="0" fontId="25" fillId="28" borderId="0" applyNumberFormat="0" applyBorder="0" applyAlignment="0" applyProtection="0"/>
    <xf numFmtId="0" fontId="25" fillId="29" borderId="0" applyNumberFormat="0" applyBorder="0" applyAlignment="0" applyProtection="0"/>
    <xf numFmtId="0" fontId="39" fillId="30" borderId="0" applyNumberFormat="0" applyBorder="0" applyAlignment="0" applyProtection="0"/>
    <xf numFmtId="0" fontId="39" fillId="31" borderId="0" applyNumberFormat="0" applyBorder="0" applyAlignment="0" applyProtection="0"/>
    <xf numFmtId="0" fontId="25" fillId="32" borderId="0" applyNumberFormat="0" applyBorder="0" applyAlignment="0" applyProtection="0"/>
    <xf numFmtId="0" fontId="25" fillId="33" borderId="0" applyNumberFormat="0" applyBorder="0" applyAlignment="0" applyProtection="0"/>
    <xf numFmtId="0" fontId="39" fillId="34" borderId="0" applyNumberFormat="0" applyBorder="0" applyAlignment="0" applyProtection="0"/>
    <xf numFmtId="0" fontId="39" fillId="35" borderId="0" applyNumberFormat="0" applyBorder="0" applyAlignment="0" applyProtection="0"/>
    <xf numFmtId="0" fontId="25" fillId="36" borderId="0" applyNumberFormat="0" applyBorder="0" applyAlignment="0" applyProtection="0"/>
    <xf numFmtId="0" fontId="25" fillId="37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16" borderId="0" applyNumberFormat="0" applyBorder="0" applyAlignment="0" applyProtection="0"/>
    <xf numFmtId="0" fontId="56" fillId="16" borderId="0" applyNumberFormat="0" applyBorder="0" applyAlignment="0" applyProtection="0"/>
    <xf numFmtId="0" fontId="25" fillId="16" borderId="0" applyNumberFormat="0" applyBorder="0" applyAlignment="0" applyProtection="0"/>
    <xf numFmtId="0" fontId="25" fillId="16" borderId="0" applyNumberFormat="0" applyBorder="0" applyAlignment="0" applyProtection="0"/>
    <xf numFmtId="0" fontId="56" fillId="16" borderId="0" applyNumberFormat="0" applyBorder="0" applyAlignment="0" applyProtection="0"/>
    <xf numFmtId="0" fontId="25" fillId="16" borderId="0" applyNumberFormat="0" applyBorder="0" applyAlignment="0" applyProtection="0"/>
    <xf numFmtId="0" fontId="25" fillId="16" borderId="0" applyNumberFormat="0" applyBorder="0" applyAlignment="0" applyProtection="0"/>
    <xf numFmtId="0" fontId="25" fillId="16" borderId="0" applyNumberFormat="0" applyBorder="0" applyAlignment="0" applyProtection="0"/>
    <xf numFmtId="0" fontId="25" fillId="16" borderId="0" applyNumberFormat="0" applyBorder="0" applyAlignment="0" applyProtection="0"/>
    <xf numFmtId="0" fontId="56" fillId="16" borderId="0" applyNumberFormat="0" applyBorder="0" applyAlignment="0" applyProtection="0"/>
    <xf numFmtId="0" fontId="25" fillId="20" borderId="0" applyNumberFormat="0" applyBorder="0" applyAlignment="0" applyProtection="0"/>
    <xf numFmtId="0" fontId="56" fillId="20" borderId="0" applyNumberFormat="0" applyBorder="0" applyAlignment="0" applyProtection="0"/>
    <xf numFmtId="0" fontId="25" fillId="20" borderId="0" applyNumberFormat="0" applyBorder="0" applyAlignment="0" applyProtection="0"/>
    <xf numFmtId="0" fontId="25" fillId="20" borderId="0" applyNumberFormat="0" applyBorder="0" applyAlignment="0" applyProtection="0"/>
    <xf numFmtId="0" fontId="56" fillId="20" borderId="0" applyNumberFormat="0" applyBorder="0" applyAlignment="0" applyProtection="0"/>
    <xf numFmtId="0" fontId="25" fillId="20" borderId="0" applyNumberFormat="0" applyBorder="0" applyAlignment="0" applyProtection="0"/>
    <xf numFmtId="0" fontId="25" fillId="20" borderId="0" applyNumberFormat="0" applyBorder="0" applyAlignment="0" applyProtection="0"/>
    <xf numFmtId="0" fontId="25" fillId="20" borderId="0" applyNumberFormat="0" applyBorder="0" applyAlignment="0" applyProtection="0"/>
    <xf numFmtId="0" fontId="25" fillId="20" borderId="0" applyNumberFormat="0" applyBorder="0" applyAlignment="0" applyProtection="0"/>
    <xf numFmtId="0" fontId="56" fillId="20" borderId="0" applyNumberFormat="0" applyBorder="0" applyAlignment="0" applyProtection="0"/>
    <xf numFmtId="0" fontId="25" fillId="24" borderId="0" applyNumberFormat="0" applyBorder="0" applyAlignment="0" applyProtection="0"/>
    <xf numFmtId="0" fontId="56" fillId="24" borderId="0" applyNumberFormat="0" applyBorder="0" applyAlignment="0" applyProtection="0"/>
    <xf numFmtId="0" fontId="25" fillId="24" borderId="0" applyNumberFormat="0" applyBorder="0" applyAlignment="0" applyProtection="0"/>
    <xf numFmtId="0" fontId="25" fillId="24" borderId="0" applyNumberFormat="0" applyBorder="0" applyAlignment="0" applyProtection="0"/>
    <xf numFmtId="0" fontId="56" fillId="24" borderId="0" applyNumberFormat="0" applyBorder="0" applyAlignment="0" applyProtection="0"/>
    <xf numFmtId="0" fontId="25" fillId="24" borderId="0" applyNumberFormat="0" applyBorder="0" applyAlignment="0" applyProtection="0"/>
    <xf numFmtId="0" fontId="25" fillId="24" borderId="0" applyNumberFormat="0" applyBorder="0" applyAlignment="0" applyProtection="0"/>
    <xf numFmtId="0" fontId="25" fillId="24" borderId="0" applyNumberFormat="0" applyBorder="0" applyAlignment="0" applyProtection="0"/>
    <xf numFmtId="0" fontId="25" fillId="24" borderId="0" applyNumberFormat="0" applyBorder="0" applyAlignment="0" applyProtection="0"/>
    <xf numFmtId="0" fontId="56" fillId="24" borderId="0" applyNumberFormat="0" applyBorder="0" applyAlignment="0" applyProtection="0"/>
    <xf numFmtId="0" fontId="25" fillId="28" borderId="0" applyNumberFormat="0" applyBorder="0" applyAlignment="0" applyProtection="0"/>
    <xf numFmtId="0" fontId="56" fillId="28" borderId="0" applyNumberFormat="0" applyBorder="0" applyAlignment="0" applyProtection="0"/>
    <xf numFmtId="0" fontId="25" fillId="28" borderId="0" applyNumberFormat="0" applyBorder="0" applyAlignment="0" applyProtection="0"/>
    <xf numFmtId="0" fontId="25" fillId="28" borderId="0" applyNumberFormat="0" applyBorder="0" applyAlignment="0" applyProtection="0"/>
    <xf numFmtId="0" fontId="56" fillId="28" borderId="0" applyNumberFormat="0" applyBorder="0" applyAlignment="0" applyProtection="0"/>
    <xf numFmtId="0" fontId="25" fillId="28" borderId="0" applyNumberFormat="0" applyBorder="0" applyAlignment="0" applyProtection="0"/>
    <xf numFmtId="0" fontId="25" fillId="28" borderId="0" applyNumberFormat="0" applyBorder="0" applyAlignment="0" applyProtection="0"/>
    <xf numFmtId="0" fontId="25" fillId="28" borderId="0" applyNumberFormat="0" applyBorder="0" applyAlignment="0" applyProtection="0"/>
    <xf numFmtId="0" fontId="25" fillId="28" borderId="0" applyNumberFormat="0" applyBorder="0" applyAlignment="0" applyProtection="0"/>
    <xf numFmtId="0" fontId="56" fillId="28" borderId="0" applyNumberFormat="0" applyBorder="0" applyAlignment="0" applyProtection="0"/>
    <xf numFmtId="0" fontId="25" fillId="32" borderId="0" applyNumberFormat="0" applyBorder="0" applyAlignment="0" applyProtection="0"/>
    <xf numFmtId="0" fontId="56" fillId="32" borderId="0" applyNumberFormat="0" applyBorder="0" applyAlignment="0" applyProtection="0"/>
    <xf numFmtId="0" fontId="25" fillId="32" borderId="0" applyNumberFormat="0" applyBorder="0" applyAlignment="0" applyProtection="0"/>
    <xf numFmtId="0" fontId="25" fillId="32" borderId="0" applyNumberFormat="0" applyBorder="0" applyAlignment="0" applyProtection="0"/>
    <xf numFmtId="0" fontId="56" fillId="32" borderId="0" applyNumberFormat="0" applyBorder="0" applyAlignment="0" applyProtection="0"/>
    <xf numFmtId="0" fontId="25" fillId="32" borderId="0" applyNumberFormat="0" applyBorder="0" applyAlignment="0" applyProtection="0"/>
    <xf numFmtId="0" fontId="25" fillId="32" borderId="0" applyNumberFormat="0" applyBorder="0" applyAlignment="0" applyProtection="0"/>
    <xf numFmtId="0" fontId="25" fillId="32" borderId="0" applyNumberFormat="0" applyBorder="0" applyAlignment="0" applyProtection="0"/>
    <xf numFmtId="0" fontId="25" fillId="32" borderId="0" applyNumberFormat="0" applyBorder="0" applyAlignment="0" applyProtection="0"/>
    <xf numFmtId="0" fontId="56" fillId="32" borderId="0" applyNumberFormat="0" applyBorder="0" applyAlignment="0" applyProtection="0"/>
    <xf numFmtId="0" fontId="25" fillId="36" borderId="0" applyNumberFormat="0" applyBorder="0" applyAlignment="0" applyProtection="0"/>
    <xf numFmtId="0" fontId="56" fillId="36" borderId="0" applyNumberFormat="0" applyBorder="0" applyAlignment="0" applyProtection="0"/>
    <xf numFmtId="0" fontId="25" fillId="36" borderId="0" applyNumberFormat="0" applyBorder="0" applyAlignment="0" applyProtection="0"/>
    <xf numFmtId="0" fontId="25" fillId="36" borderId="0" applyNumberFormat="0" applyBorder="0" applyAlignment="0" applyProtection="0"/>
    <xf numFmtId="0" fontId="56" fillId="36" borderId="0" applyNumberFormat="0" applyBorder="0" applyAlignment="0" applyProtection="0"/>
    <xf numFmtId="0" fontId="25" fillId="36" borderId="0" applyNumberFormat="0" applyBorder="0" applyAlignment="0" applyProtection="0"/>
    <xf numFmtId="0" fontId="25" fillId="36" borderId="0" applyNumberFormat="0" applyBorder="0" applyAlignment="0" applyProtection="0"/>
    <xf numFmtId="0" fontId="25" fillId="36" borderId="0" applyNumberFormat="0" applyBorder="0" applyAlignment="0" applyProtection="0"/>
    <xf numFmtId="0" fontId="25" fillId="36" borderId="0" applyNumberFormat="0" applyBorder="0" applyAlignment="0" applyProtection="0"/>
    <xf numFmtId="0" fontId="56" fillId="36" borderId="0" applyNumberFormat="0" applyBorder="0" applyAlignment="0" applyProtection="0"/>
    <xf numFmtId="0" fontId="25" fillId="17" borderId="0" applyNumberFormat="0" applyBorder="0" applyAlignment="0" applyProtection="0"/>
    <xf numFmtId="0" fontId="56" fillId="17" borderId="0" applyNumberFormat="0" applyBorder="0" applyAlignment="0" applyProtection="0"/>
    <xf numFmtId="0" fontId="25" fillId="17" borderId="0" applyNumberFormat="0" applyBorder="0" applyAlignment="0" applyProtection="0"/>
    <xf numFmtId="0" fontId="25" fillId="17" borderId="0" applyNumberFormat="0" applyBorder="0" applyAlignment="0" applyProtection="0"/>
    <xf numFmtId="0" fontId="56" fillId="17" borderId="0" applyNumberFormat="0" applyBorder="0" applyAlignment="0" applyProtection="0"/>
    <xf numFmtId="0" fontId="25" fillId="17" borderId="0" applyNumberFormat="0" applyBorder="0" applyAlignment="0" applyProtection="0"/>
    <xf numFmtId="0" fontId="25" fillId="17" borderId="0" applyNumberFormat="0" applyBorder="0" applyAlignment="0" applyProtection="0"/>
    <xf numFmtId="0" fontId="25" fillId="17" borderId="0" applyNumberFormat="0" applyBorder="0" applyAlignment="0" applyProtection="0"/>
    <xf numFmtId="0" fontId="25" fillId="17" borderId="0" applyNumberFormat="0" applyBorder="0" applyAlignment="0" applyProtection="0"/>
    <xf numFmtId="0" fontId="56" fillId="17" borderId="0" applyNumberFormat="0" applyBorder="0" applyAlignment="0" applyProtection="0"/>
    <xf numFmtId="0" fontId="25" fillId="21" borderId="0" applyNumberFormat="0" applyBorder="0" applyAlignment="0" applyProtection="0"/>
    <xf numFmtId="0" fontId="56" fillId="21" borderId="0" applyNumberFormat="0" applyBorder="0" applyAlignment="0" applyProtection="0"/>
    <xf numFmtId="0" fontId="25" fillId="21" borderId="0" applyNumberFormat="0" applyBorder="0" applyAlignment="0" applyProtection="0"/>
    <xf numFmtId="0" fontId="25" fillId="21" borderId="0" applyNumberFormat="0" applyBorder="0" applyAlignment="0" applyProtection="0"/>
    <xf numFmtId="0" fontId="56" fillId="21" borderId="0" applyNumberFormat="0" applyBorder="0" applyAlignment="0" applyProtection="0"/>
    <xf numFmtId="0" fontId="25" fillId="21" borderId="0" applyNumberFormat="0" applyBorder="0" applyAlignment="0" applyProtection="0"/>
    <xf numFmtId="0" fontId="25" fillId="21" borderId="0" applyNumberFormat="0" applyBorder="0" applyAlignment="0" applyProtection="0"/>
    <xf numFmtId="0" fontId="25" fillId="21" borderId="0" applyNumberFormat="0" applyBorder="0" applyAlignment="0" applyProtection="0"/>
    <xf numFmtId="0" fontId="25" fillId="21" borderId="0" applyNumberFormat="0" applyBorder="0" applyAlignment="0" applyProtection="0"/>
    <xf numFmtId="0" fontId="56" fillId="21" borderId="0" applyNumberFormat="0" applyBorder="0" applyAlignment="0" applyProtection="0"/>
    <xf numFmtId="0" fontId="25" fillId="25" borderId="0" applyNumberFormat="0" applyBorder="0" applyAlignment="0" applyProtection="0"/>
    <xf numFmtId="0" fontId="56" fillId="25" borderId="0" applyNumberFormat="0" applyBorder="0" applyAlignment="0" applyProtection="0"/>
    <xf numFmtId="0" fontId="25" fillId="25" borderId="0" applyNumberFormat="0" applyBorder="0" applyAlignment="0" applyProtection="0"/>
    <xf numFmtId="0" fontId="25" fillId="25" borderId="0" applyNumberFormat="0" applyBorder="0" applyAlignment="0" applyProtection="0"/>
    <xf numFmtId="0" fontId="56" fillId="25" borderId="0" applyNumberFormat="0" applyBorder="0" applyAlignment="0" applyProtection="0"/>
    <xf numFmtId="0" fontId="25" fillId="25" borderId="0" applyNumberFormat="0" applyBorder="0" applyAlignment="0" applyProtection="0"/>
    <xf numFmtId="0" fontId="25" fillId="25" borderId="0" applyNumberFormat="0" applyBorder="0" applyAlignment="0" applyProtection="0"/>
    <xf numFmtId="0" fontId="25" fillId="25" borderId="0" applyNumberFormat="0" applyBorder="0" applyAlignment="0" applyProtection="0"/>
    <xf numFmtId="0" fontId="25" fillId="25" borderId="0" applyNumberFormat="0" applyBorder="0" applyAlignment="0" applyProtection="0"/>
    <xf numFmtId="0" fontId="56" fillId="25" borderId="0" applyNumberFormat="0" applyBorder="0" applyAlignment="0" applyProtection="0"/>
    <xf numFmtId="0" fontId="25" fillId="29" borderId="0" applyNumberFormat="0" applyBorder="0" applyAlignment="0" applyProtection="0"/>
    <xf numFmtId="0" fontId="56" fillId="29" borderId="0" applyNumberFormat="0" applyBorder="0" applyAlignment="0" applyProtection="0"/>
    <xf numFmtId="0" fontId="25" fillId="29" borderId="0" applyNumberFormat="0" applyBorder="0" applyAlignment="0" applyProtection="0"/>
    <xf numFmtId="0" fontId="25" fillId="29" borderId="0" applyNumberFormat="0" applyBorder="0" applyAlignment="0" applyProtection="0"/>
    <xf numFmtId="0" fontId="56" fillId="29" borderId="0" applyNumberFormat="0" applyBorder="0" applyAlignment="0" applyProtection="0"/>
    <xf numFmtId="0" fontId="25" fillId="29" borderId="0" applyNumberFormat="0" applyBorder="0" applyAlignment="0" applyProtection="0"/>
    <xf numFmtId="0" fontId="25" fillId="29" borderId="0" applyNumberFormat="0" applyBorder="0" applyAlignment="0" applyProtection="0"/>
    <xf numFmtId="0" fontId="25" fillId="29" borderId="0" applyNumberFormat="0" applyBorder="0" applyAlignment="0" applyProtection="0"/>
    <xf numFmtId="0" fontId="25" fillId="29" borderId="0" applyNumberFormat="0" applyBorder="0" applyAlignment="0" applyProtection="0"/>
    <xf numFmtId="0" fontId="56" fillId="29" borderId="0" applyNumberFormat="0" applyBorder="0" applyAlignment="0" applyProtection="0"/>
    <xf numFmtId="0" fontId="25" fillId="33" borderId="0" applyNumberFormat="0" applyBorder="0" applyAlignment="0" applyProtection="0"/>
    <xf numFmtId="0" fontId="56" fillId="33" borderId="0" applyNumberFormat="0" applyBorder="0" applyAlignment="0" applyProtection="0"/>
    <xf numFmtId="0" fontId="25" fillId="33" borderId="0" applyNumberFormat="0" applyBorder="0" applyAlignment="0" applyProtection="0"/>
    <xf numFmtId="0" fontId="25" fillId="33" borderId="0" applyNumberFormat="0" applyBorder="0" applyAlignment="0" applyProtection="0"/>
    <xf numFmtId="0" fontId="56" fillId="33" borderId="0" applyNumberFormat="0" applyBorder="0" applyAlignment="0" applyProtection="0"/>
    <xf numFmtId="0" fontId="25" fillId="33" borderId="0" applyNumberFormat="0" applyBorder="0" applyAlignment="0" applyProtection="0"/>
    <xf numFmtId="0" fontId="25" fillId="33" borderId="0" applyNumberFormat="0" applyBorder="0" applyAlignment="0" applyProtection="0"/>
    <xf numFmtId="0" fontId="25" fillId="33" borderId="0" applyNumberFormat="0" applyBorder="0" applyAlignment="0" applyProtection="0"/>
    <xf numFmtId="0" fontId="25" fillId="33" borderId="0" applyNumberFormat="0" applyBorder="0" applyAlignment="0" applyProtection="0"/>
    <xf numFmtId="0" fontId="56" fillId="33" borderId="0" applyNumberFormat="0" applyBorder="0" applyAlignment="0" applyProtection="0"/>
    <xf numFmtId="0" fontId="25" fillId="37" borderId="0" applyNumberFormat="0" applyBorder="0" applyAlignment="0" applyProtection="0"/>
    <xf numFmtId="0" fontId="56" fillId="37" borderId="0" applyNumberFormat="0" applyBorder="0" applyAlignment="0" applyProtection="0"/>
    <xf numFmtId="0" fontId="25" fillId="37" borderId="0" applyNumberFormat="0" applyBorder="0" applyAlignment="0" applyProtection="0"/>
    <xf numFmtId="0" fontId="25" fillId="37" borderId="0" applyNumberFormat="0" applyBorder="0" applyAlignment="0" applyProtection="0"/>
    <xf numFmtId="0" fontId="56" fillId="37" borderId="0" applyNumberFormat="0" applyBorder="0" applyAlignment="0" applyProtection="0"/>
    <xf numFmtId="0" fontId="25" fillId="37" borderId="0" applyNumberFormat="0" applyBorder="0" applyAlignment="0" applyProtection="0"/>
    <xf numFmtId="0" fontId="25" fillId="37" borderId="0" applyNumberFormat="0" applyBorder="0" applyAlignment="0" applyProtection="0"/>
    <xf numFmtId="0" fontId="25" fillId="37" borderId="0" applyNumberFormat="0" applyBorder="0" applyAlignment="0" applyProtection="0"/>
    <xf numFmtId="0" fontId="25" fillId="37" borderId="0" applyNumberFormat="0" applyBorder="0" applyAlignment="0" applyProtection="0"/>
    <xf numFmtId="0" fontId="56" fillId="37" borderId="0" applyNumberFormat="0" applyBorder="0" applyAlignment="0" applyProtection="0"/>
    <xf numFmtId="0" fontId="57" fillId="18" borderId="0" applyNumberFormat="0" applyBorder="0" applyAlignment="0" applyProtection="0"/>
    <xf numFmtId="0" fontId="39" fillId="18" borderId="0" applyNumberFormat="0" applyBorder="0" applyAlignment="0" applyProtection="0"/>
    <xf numFmtId="0" fontId="57" fillId="18" borderId="0" applyNumberFormat="0" applyBorder="0" applyAlignment="0" applyProtection="0"/>
    <xf numFmtId="0" fontId="57" fillId="18" borderId="0" applyNumberFormat="0" applyBorder="0" applyAlignment="0" applyProtection="0"/>
    <xf numFmtId="0" fontId="57" fillId="22" borderId="0" applyNumberFormat="0" applyBorder="0" applyAlignment="0" applyProtection="0"/>
    <xf numFmtId="0" fontId="39" fillId="22" borderId="0" applyNumberFormat="0" applyBorder="0" applyAlignment="0" applyProtection="0"/>
    <xf numFmtId="0" fontId="57" fillId="22" borderId="0" applyNumberFormat="0" applyBorder="0" applyAlignment="0" applyProtection="0"/>
    <xf numFmtId="0" fontId="57" fillId="22" borderId="0" applyNumberFormat="0" applyBorder="0" applyAlignment="0" applyProtection="0"/>
    <xf numFmtId="0" fontId="57" fillId="26" borderId="0" applyNumberFormat="0" applyBorder="0" applyAlignment="0" applyProtection="0"/>
    <xf numFmtId="0" fontId="39" fillId="26" borderId="0" applyNumberFormat="0" applyBorder="0" applyAlignment="0" applyProtection="0"/>
    <xf numFmtId="0" fontId="57" fillId="26" borderId="0" applyNumberFormat="0" applyBorder="0" applyAlignment="0" applyProtection="0"/>
    <xf numFmtId="0" fontId="57" fillId="26" borderId="0" applyNumberFormat="0" applyBorder="0" applyAlignment="0" applyProtection="0"/>
    <xf numFmtId="0" fontId="57" fillId="30" borderId="0" applyNumberFormat="0" applyBorder="0" applyAlignment="0" applyProtection="0"/>
    <xf numFmtId="0" fontId="39" fillId="30" borderId="0" applyNumberFormat="0" applyBorder="0" applyAlignment="0" applyProtection="0"/>
    <xf numFmtId="0" fontId="57" fillId="30" borderId="0" applyNumberFormat="0" applyBorder="0" applyAlignment="0" applyProtection="0"/>
    <xf numFmtId="0" fontId="57" fillId="30" borderId="0" applyNumberFormat="0" applyBorder="0" applyAlignment="0" applyProtection="0"/>
    <xf numFmtId="0" fontId="57" fillId="34" borderId="0" applyNumberFormat="0" applyBorder="0" applyAlignment="0" applyProtection="0"/>
    <xf numFmtId="0" fontId="39" fillId="34" borderId="0" applyNumberFormat="0" applyBorder="0" applyAlignment="0" applyProtection="0"/>
    <xf numFmtId="0" fontId="57" fillId="34" borderId="0" applyNumberFormat="0" applyBorder="0" applyAlignment="0" applyProtection="0"/>
    <xf numFmtId="0" fontId="57" fillId="34" borderId="0" applyNumberFormat="0" applyBorder="0" applyAlignment="0" applyProtection="0"/>
    <xf numFmtId="0" fontId="57" fillId="7" borderId="0" applyNumberFormat="0" applyBorder="0" applyAlignment="0" applyProtection="0"/>
    <xf numFmtId="0" fontId="39" fillId="7" borderId="0" applyNumberFormat="0" applyBorder="0" applyAlignment="0" applyProtection="0"/>
    <xf numFmtId="0" fontId="57" fillId="7" borderId="0" applyNumberFormat="0" applyBorder="0" applyAlignment="0" applyProtection="0"/>
    <xf numFmtId="0" fontId="57" fillId="7" borderId="0" applyNumberFormat="0" applyBorder="0" applyAlignment="0" applyProtection="0"/>
    <xf numFmtId="0" fontId="57" fillId="15" borderId="0" applyNumberFormat="0" applyBorder="0" applyAlignment="0" applyProtection="0"/>
    <xf numFmtId="0" fontId="39" fillId="15" borderId="0" applyNumberFormat="0" applyBorder="0" applyAlignment="0" applyProtection="0"/>
    <xf numFmtId="0" fontId="57" fillId="15" borderId="0" applyNumberFormat="0" applyBorder="0" applyAlignment="0" applyProtection="0"/>
    <xf numFmtId="0" fontId="57" fillId="15" borderId="0" applyNumberFormat="0" applyBorder="0" applyAlignment="0" applyProtection="0"/>
    <xf numFmtId="0" fontId="57" fillId="19" borderId="0" applyNumberFormat="0" applyBorder="0" applyAlignment="0" applyProtection="0"/>
    <xf numFmtId="0" fontId="39" fillId="19" borderId="0" applyNumberFormat="0" applyBorder="0" applyAlignment="0" applyProtection="0"/>
    <xf numFmtId="0" fontId="57" fillId="19" borderId="0" applyNumberFormat="0" applyBorder="0" applyAlignment="0" applyProtection="0"/>
    <xf numFmtId="0" fontId="57" fillId="19" borderId="0" applyNumberFormat="0" applyBorder="0" applyAlignment="0" applyProtection="0"/>
    <xf numFmtId="0" fontId="57" fillId="23" borderId="0" applyNumberFormat="0" applyBorder="0" applyAlignment="0" applyProtection="0"/>
    <xf numFmtId="0" fontId="39" fillId="23" borderId="0" applyNumberFormat="0" applyBorder="0" applyAlignment="0" applyProtection="0"/>
    <xf numFmtId="0" fontId="57" fillId="23" borderId="0" applyNumberFormat="0" applyBorder="0" applyAlignment="0" applyProtection="0"/>
    <xf numFmtId="0" fontId="57" fillId="23" borderId="0" applyNumberFormat="0" applyBorder="0" applyAlignment="0" applyProtection="0"/>
    <xf numFmtId="0" fontId="57" fillId="27" borderId="0" applyNumberFormat="0" applyBorder="0" applyAlignment="0" applyProtection="0"/>
    <xf numFmtId="0" fontId="39" fillId="27" borderId="0" applyNumberFormat="0" applyBorder="0" applyAlignment="0" applyProtection="0"/>
    <xf numFmtId="0" fontId="57" fillId="27" borderId="0" applyNumberFormat="0" applyBorder="0" applyAlignment="0" applyProtection="0"/>
    <xf numFmtId="0" fontId="57" fillId="27" borderId="0" applyNumberFormat="0" applyBorder="0" applyAlignment="0" applyProtection="0"/>
    <xf numFmtId="0" fontId="57" fillId="31" borderId="0" applyNumberFormat="0" applyBorder="0" applyAlignment="0" applyProtection="0"/>
    <xf numFmtId="0" fontId="39" fillId="31" borderId="0" applyNumberFormat="0" applyBorder="0" applyAlignment="0" applyProtection="0"/>
    <xf numFmtId="0" fontId="57" fillId="31" borderId="0" applyNumberFormat="0" applyBorder="0" applyAlignment="0" applyProtection="0"/>
    <xf numFmtId="0" fontId="57" fillId="31" borderId="0" applyNumberFormat="0" applyBorder="0" applyAlignment="0" applyProtection="0"/>
    <xf numFmtId="0" fontId="57" fillId="35" borderId="0" applyNumberFormat="0" applyBorder="0" applyAlignment="0" applyProtection="0"/>
    <xf numFmtId="0" fontId="39" fillId="35" borderId="0" applyNumberFormat="0" applyBorder="0" applyAlignment="0" applyProtection="0"/>
    <xf numFmtId="0" fontId="57" fillId="35" borderId="0" applyNumberFormat="0" applyBorder="0" applyAlignment="0" applyProtection="0"/>
    <xf numFmtId="0" fontId="57" fillId="35" borderId="0" applyNumberFormat="0" applyBorder="0" applyAlignment="0" applyProtection="0"/>
    <xf numFmtId="0" fontId="58" fillId="6" borderId="2" applyNumberFormat="0" applyAlignment="0" applyProtection="0"/>
    <xf numFmtId="0" fontId="38" fillId="6" borderId="2" applyNumberFormat="0" applyAlignment="0" applyProtection="0"/>
    <xf numFmtId="0" fontId="58" fillId="6" borderId="2" applyNumberFormat="0" applyAlignment="0" applyProtection="0"/>
    <xf numFmtId="0" fontId="58" fillId="6" borderId="2" applyNumberFormat="0" applyAlignment="0" applyProtection="0"/>
    <xf numFmtId="0" fontId="59" fillId="13" borderId="40" applyNumberFormat="0" applyAlignment="0" applyProtection="0"/>
    <xf numFmtId="0" fontId="50" fillId="13" borderId="40" applyNumberFormat="0" applyAlignment="0" applyProtection="0"/>
    <xf numFmtId="0" fontId="59" fillId="13" borderId="40" applyNumberFormat="0" applyAlignment="0" applyProtection="0"/>
    <xf numFmtId="0" fontId="59" fillId="13" borderId="40" applyNumberFormat="0" applyAlignment="0" applyProtection="0"/>
    <xf numFmtId="0" fontId="60" fillId="0" borderId="39" applyNumberFormat="0" applyFill="0" applyAlignment="0" applyProtection="0"/>
    <xf numFmtId="0" fontId="49" fillId="0" borderId="39" applyNumberFormat="0" applyFill="0" applyAlignment="0" applyProtection="0"/>
    <xf numFmtId="0" fontId="60" fillId="0" borderId="39" applyNumberFormat="0" applyFill="0" applyAlignment="0" applyProtection="0"/>
    <xf numFmtId="0" fontId="60" fillId="0" borderId="39" applyNumberFormat="0" applyFill="0" applyAlignment="0" applyProtection="0"/>
    <xf numFmtId="0" fontId="61" fillId="2" borderId="0" applyNumberFormat="0" applyBorder="0" applyAlignment="0" applyProtection="0"/>
    <xf numFmtId="0" fontId="34" fillId="2" borderId="0" applyNumberFormat="0" applyBorder="0" applyAlignment="0" applyProtection="0"/>
    <xf numFmtId="0" fontId="61" fillId="2" borderId="0" applyNumberFormat="0" applyBorder="0" applyAlignment="0" applyProtection="0"/>
    <xf numFmtId="0" fontId="61" fillId="2" borderId="0" applyNumberFormat="0" applyBorder="0" applyAlignment="0" applyProtection="0"/>
    <xf numFmtId="0" fontId="62" fillId="5" borderId="2" applyNumberFormat="0" applyAlignment="0" applyProtection="0"/>
    <xf numFmtId="0" fontId="37" fillId="5" borderId="2" applyNumberFormat="0" applyAlignment="0" applyProtection="0"/>
    <xf numFmtId="0" fontId="62" fillId="5" borderId="2" applyNumberFormat="0" applyAlignment="0" applyProtection="0"/>
    <xf numFmtId="0" fontId="62" fillId="5" borderId="2" applyNumberFormat="0" applyAlignment="0" applyProtection="0"/>
    <xf numFmtId="166" fontId="63" fillId="0" borderId="0" applyFont="0" applyFill="0" applyBorder="0" applyAlignment="0" applyProtection="0"/>
    <xf numFmtId="167" fontId="63" fillId="0" borderId="0" applyFont="0" applyFill="0" applyBorder="0" applyAlignment="0" applyProtection="0"/>
    <xf numFmtId="166" fontId="56" fillId="0" borderId="0" applyFont="0" applyFill="0" applyBorder="0" applyAlignment="0" applyProtection="0"/>
    <xf numFmtId="167" fontId="25" fillId="0" borderId="0" applyFont="0" applyFill="0" applyBorder="0" applyAlignment="0" applyProtection="0"/>
    <xf numFmtId="166" fontId="56" fillId="0" borderId="0" applyFont="0" applyFill="0" applyBorder="0" applyAlignment="0" applyProtection="0"/>
    <xf numFmtId="167" fontId="63" fillId="0" borderId="0" applyFont="0" applyFill="0" applyBorder="0" applyAlignment="0" applyProtection="0"/>
    <xf numFmtId="168" fontId="25" fillId="0" borderId="0" applyFont="0" applyFill="0" applyBorder="0" applyAlignment="0" applyProtection="0"/>
    <xf numFmtId="166" fontId="56" fillId="0" borderId="0" applyFont="0" applyFill="0" applyBorder="0" applyAlignment="0" applyProtection="0"/>
    <xf numFmtId="167" fontId="64" fillId="0" borderId="0" applyFont="0" applyFill="0" applyBorder="0" applyAlignment="0" applyProtection="0"/>
    <xf numFmtId="168" fontId="25" fillId="0" borderId="0" applyFont="0" applyFill="0" applyBorder="0" applyAlignment="0" applyProtection="0"/>
    <xf numFmtId="0" fontId="65" fillId="0" borderId="36" applyNumberFormat="0" applyFill="0" applyAlignment="0" applyProtection="0"/>
    <xf numFmtId="0" fontId="46" fillId="0" borderId="36" applyNumberFormat="0" applyFill="0" applyAlignment="0" applyProtection="0"/>
    <xf numFmtId="0" fontId="65" fillId="0" borderId="36" applyNumberFormat="0" applyFill="0" applyAlignment="0" applyProtection="0"/>
    <xf numFmtId="0" fontId="65" fillId="0" borderId="36" applyNumberFormat="0" applyFill="0" applyAlignment="0" applyProtection="0"/>
    <xf numFmtId="0" fontId="66" fillId="0" borderId="1" applyNumberFormat="0" applyFill="0" applyAlignment="0" applyProtection="0"/>
    <xf numFmtId="0" fontId="33" fillId="0" borderId="1" applyNumberFormat="0" applyFill="0" applyAlignment="0" applyProtection="0"/>
    <xf numFmtId="0" fontId="66" fillId="0" borderId="1" applyNumberFormat="0" applyFill="0" applyAlignment="0" applyProtection="0"/>
    <xf numFmtId="0" fontId="66" fillId="0" borderId="1" applyNumberFormat="0" applyFill="0" applyAlignment="0" applyProtection="0"/>
    <xf numFmtId="0" fontId="67" fillId="0" borderId="37" applyNumberFormat="0" applyFill="0" applyAlignment="0" applyProtection="0"/>
    <xf numFmtId="0" fontId="47" fillId="0" borderId="37" applyNumberFormat="0" applyFill="0" applyAlignment="0" applyProtection="0"/>
    <xf numFmtId="0" fontId="67" fillId="0" borderId="37" applyNumberFormat="0" applyFill="0" applyAlignment="0" applyProtection="0"/>
    <xf numFmtId="0" fontId="67" fillId="0" borderId="37" applyNumberFormat="0" applyFill="0" applyAlignment="0" applyProtection="0"/>
    <xf numFmtId="0" fontId="6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67" fillId="0" borderId="0" applyNumberFormat="0" applyFill="0" applyBorder="0" applyAlignment="0" applyProtection="0"/>
    <xf numFmtId="0" fontId="67" fillId="0" borderId="0" applyNumberFormat="0" applyFill="0" applyBorder="0" applyAlignment="0" applyProtection="0"/>
    <xf numFmtId="0" fontId="68" fillId="4" borderId="0" applyNumberFormat="0" applyBorder="0" applyAlignment="0" applyProtection="0"/>
    <xf numFmtId="0" fontId="36" fillId="4" borderId="0" applyNumberFormat="0" applyBorder="0" applyAlignment="0" applyProtection="0"/>
    <xf numFmtId="0" fontId="68" fillId="4" borderId="0" applyNumberFormat="0" applyBorder="0" applyAlignment="0" applyProtection="0"/>
    <xf numFmtId="0" fontId="68" fillId="4" borderId="0" applyNumberFormat="0" applyBorder="0" applyAlignment="0" applyProtection="0"/>
    <xf numFmtId="0" fontId="25" fillId="14" borderId="41" applyNumberFormat="0" applyFont="0" applyAlignment="0" applyProtection="0"/>
    <xf numFmtId="0" fontId="56" fillId="14" borderId="41" applyNumberFormat="0" applyFont="0" applyAlignment="0" applyProtection="0"/>
    <xf numFmtId="0" fontId="25" fillId="14" borderId="41" applyNumberFormat="0" applyFont="0" applyAlignment="0" applyProtection="0"/>
    <xf numFmtId="0" fontId="25" fillId="14" borderId="41" applyNumberFormat="0" applyFont="0" applyAlignment="0" applyProtection="0"/>
    <xf numFmtId="0" fontId="56" fillId="14" borderId="41" applyNumberFormat="0" applyFont="0" applyAlignment="0" applyProtection="0"/>
    <xf numFmtId="0" fontId="25" fillId="14" borderId="41" applyNumberFormat="0" applyFont="0" applyAlignment="0" applyProtection="0"/>
    <xf numFmtId="0" fontId="25" fillId="14" borderId="41" applyNumberFormat="0" applyFont="0" applyAlignment="0" applyProtection="0"/>
    <xf numFmtId="0" fontId="25" fillId="14" borderId="41" applyNumberFormat="0" applyFont="0" applyAlignment="0" applyProtection="0"/>
    <xf numFmtId="0" fontId="25" fillId="14" borderId="41" applyNumberFormat="0" applyFont="0" applyAlignment="0" applyProtection="0"/>
    <xf numFmtId="0" fontId="56" fillId="14" borderId="41" applyNumberFormat="0" applyFont="0" applyAlignment="0" applyProtection="0"/>
    <xf numFmtId="0" fontId="69" fillId="3" borderId="0" applyNumberFormat="0" applyBorder="0" applyAlignment="0" applyProtection="0"/>
    <xf numFmtId="0" fontId="35" fillId="3" borderId="0" applyNumberFormat="0" applyBorder="0" applyAlignment="0" applyProtection="0"/>
    <xf numFmtId="0" fontId="69" fillId="3" borderId="0" applyNumberFormat="0" applyBorder="0" applyAlignment="0" applyProtection="0"/>
    <xf numFmtId="0" fontId="69" fillId="3" borderId="0" applyNumberFormat="0" applyBorder="0" applyAlignment="0" applyProtection="0"/>
    <xf numFmtId="9" fontId="63" fillId="0" borderId="0" applyFont="0" applyFill="0" applyBorder="0" applyAlignment="0" applyProtection="0"/>
    <xf numFmtId="9" fontId="56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56" fillId="0" borderId="0" applyFont="0" applyFill="0" applyBorder="0" applyAlignment="0" applyProtection="0"/>
    <xf numFmtId="9" fontId="56" fillId="0" borderId="0" applyFont="0" applyFill="0" applyBorder="0" applyAlignment="0" applyProtection="0"/>
    <xf numFmtId="0" fontId="25" fillId="0" borderId="0"/>
    <xf numFmtId="0" fontId="63" fillId="0" borderId="0"/>
    <xf numFmtId="0" fontId="56" fillId="0" borderId="0"/>
    <xf numFmtId="0" fontId="70" fillId="0" borderId="0"/>
    <xf numFmtId="0" fontId="63" fillId="0" borderId="0"/>
    <xf numFmtId="0" fontId="25" fillId="0" borderId="0"/>
    <xf numFmtId="0" fontId="25" fillId="0" borderId="0"/>
    <xf numFmtId="0" fontId="71" fillId="0" borderId="0"/>
    <xf numFmtId="0" fontId="56" fillId="0" borderId="0"/>
    <xf numFmtId="0" fontId="63" fillId="0" borderId="0"/>
    <xf numFmtId="0" fontId="25" fillId="0" borderId="0"/>
    <xf numFmtId="0" fontId="64" fillId="0" borderId="0"/>
    <xf numFmtId="0" fontId="25" fillId="0" borderId="0"/>
    <xf numFmtId="0" fontId="72" fillId="0" borderId="0"/>
    <xf numFmtId="0" fontId="25" fillId="0" borderId="0"/>
    <xf numFmtId="0" fontId="25" fillId="0" borderId="0"/>
    <xf numFmtId="0" fontId="25" fillId="0" borderId="0"/>
    <xf numFmtId="0" fontId="56" fillId="0" borderId="0"/>
    <xf numFmtId="0" fontId="73" fillId="0" borderId="0" applyNumberFormat="0" applyFill="0" applyBorder="0" applyAlignment="0" applyProtection="0"/>
    <xf numFmtId="0" fontId="32" fillId="0" borderId="42" applyNumberFormat="0" applyFill="0" applyAlignment="0" applyProtection="0"/>
    <xf numFmtId="0" fontId="53" fillId="0" borderId="42" applyNumberFormat="0" applyFill="0" applyAlignment="0" applyProtection="0"/>
    <xf numFmtId="0" fontId="32" fillId="0" borderId="42" applyNumberFormat="0" applyFill="0" applyAlignment="0" applyProtection="0"/>
    <xf numFmtId="0" fontId="32" fillId="0" borderId="42" applyNumberFormat="0" applyFill="0" applyAlignment="0" applyProtection="0"/>
    <xf numFmtId="0" fontId="74" fillId="6" borderId="38" applyNumberFormat="0" applyAlignment="0" applyProtection="0"/>
    <xf numFmtId="0" fontId="48" fillId="6" borderId="38" applyNumberFormat="0" applyAlignment="0" applyProtection="0"/>
    <xf numFmtId="0" fontId="74" fillId="6" borderId="38" applyNumberFormat="0" applyAlignment="0" applyProtection="0"/>
    <xf numFmtId="0" fontId="74" fillId="6" borderId="38" applyNumberFormat="0" applyAlignment="0" applyProtection="0"/>
    <xf numFmtId="165" fontId="63" fillId="0" borderId="0" applyFont="0" applyFill="0" applyBorder="0" applyAlignment="0" applyProtection="0"/>
    <xf numFmtId="169" fontId="25" fillId="0" borderId="0" applyFont="0" applyFill="0" applyBorder="0" applyAlignment="0" applyProtection="0"/>
    <xf numFmtId="0" fontId="75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75" fillId="0" borderId="0" applyNumberFormat="0" applyFill="0" applyBorder="0" applyAlignment="0" applyProtection="0"/>
    <xf numFmtId="0" fontId="75" fillId="0" borderId="0" applyNumberFormat="0" applyFill="0" applyBorder="0" applyAlignment="0" applyProtection="0"/>
    <xf numFmtId="0" fontId="76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76" fillId="0" borderId="0" applyNumberFormat="0" applyFill="0" applyBorder="0" applyAlignment="0" applyProtection="0"/>
    <xf numFmtId="0" fontId="76" fillId="0" borderId="0" applyNumberFormat="0" applyFill="0" applyBorder="0" applyAlignment="0" applyProtection="0"/>
    <xf numFmtId="0" fontId="25" fillId="0" borderId="0"/>
    <xf numFmtId="0" fontId="25" fillId="14" borderId="41" applyNumberFormat="0" applyFont="0" applyAlignment="0" applyProtection="0"/>
    <xf numFmtId="168" fontId="25" fillId="0" borderId="0" applyFont="0" applyFill="0" applyBorder="0" applyAlignment="0" applyProtection="0"/>
    <xf numFmtId="169" fontId="25" fillId="0" borderId="0" applyFont="0" applyFill="0" applyBorder="0" applyAlignment="0" applyProtection="0"/>
    <xf numFmtId="0" fontId="25" fillId="16" borderId="0" applyNumberFormat="0" applyBorder="0" applyAlignment="0" applyProtection="0"/>
    <xf numFmtId="0" fontId="25" fillId="20" borderId="0" applyNumberFormat="0" applyBorder="0" applyAlignment="0" applyProtection="0"/>
    <xf numFmtId="0" fontId="25" fillId="24" borderId="0" applyNumberFormat="0" applyBorder="0" applyAlignment="0" applyProtection="0"/>
    <xf numFmtId="0" fontId="25" fillId="28" borderId="0" applyNumberFormat="0" applyBorder="0" applyAlignment="0" applyProtection="0"/>
    <xf numFmtId="0" fontId="25" fillId="32" borderId="0" applyNumberFormat="0" applyBorder="0" applyAlignment="0" applyProtection="0"/>
    <xf numFmtId="0" fontId="25" fillId="36" borderId="0" applyNumberFormat="0" applyBorder="0" applyAlignment="0" applyProtection="0"/>
    <xf numFmtId="0" fontId="25" fillId="17" borderId="0" applyNumberFormat="0" applyBorder="0" applyAlignment="0" applyProtection="0"/>
    <xf numFmtId="0" fontId="25" fillId="21" borderId="0" applyNumberFormat="0" applyBorder="0" applyAlignment="0" applyProtection="0"/>
    <xf numFmtId="0" fontId="25" fillId="25" borderId="0" applyNumberFormat="0" applyBorder="0" applyAlignment="0" applyProtection="0"/>
    <xf numFmtId="0" fontId="25" fillId="29" borderId="0" applyNumberFormat="0" applyBorder="0" applyAlignment="0" applyProtection="0"/>
    <xf numFmtId="0" fontId="25" fillId="33" borderId="0" applyNumberFormat="0" applyBorder="0" applyAlignment="0" applyProtection="0"/>
    <xf numFmtId="0" fontId="25" fillId="37" borderId="0" applyNumberFormat="0" applyBorder="0" applyAlignment="0" applyProtection="0"/>
    <xf numFmtId="167" fontId="25" fillId="0" borderId="0" applyFont="0" applyFill="0" applyBorder="0" applyAlignment="0" applyProtection="0"/>
    <xf numFmtId="0" fontId="25" fillId="14" borderId="41" applyNumberFormat="0" applyFont="0" applyAlignment="0" applyProtection="0"/>
    <xf numFmtId="0" fontId="25" fillId="14" borderId="41" applyNumberFormat="0" applyFont="0" applyAlignment="0" applyProtection="0"/>
    <xf numFmtId="9" fontId="25" fillId="0" borderId="0" applyFont="0" applyFill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16" borderId="0" applyNumberFormat="0" applyBorder="0" applyAlignment="0" applyProtection="0"/>
    <xf numFmtId="0" fontId="25" fillId="17" borderId="0" applyNumberFormat="0" applyBorder="0" applyAlignment="0" applyProtection="0"/>
    <xf numFmtId="0" fontId="25" fillId="20" borderId="0" applyNumberFormat="0" applyBorder="0" applyAlignment="0" applyProtection="0"/>
    <xf numFmtId="0" fontId="25" fillId="21" borderId="0" applyNumberFormat="0" applyBorder="0" applyAlignment="0" applyProtection="0"/>
    <xf numFmtId="0" fontId="25" fillId="24" borderId="0" applyNumberFormat="0" applyBorder="0" applyAlignment="0" applyProtection="0"/>
    <xf numFmtId="0" fontId="25" fillId="25" borderId="0" applyNumberFormat="0" applyBorder="0" applyAlignment="0" applyProtection="0"/>
    <xf numFmtId="0" fontId="25" fillId="28" borderId="0" applyNumberFormat="0" applyBorder="0" applyAlignment="0" applyProtection="0"/>
    <xf numFmtId="0" fontId="25" fillId="29" borderId="0" applyNumberFormat="0" applyBorder="0" applyAlignment="0" applyProtection="0"/>
    <xf numFmtId="0" fontId="25" fillId="32" borderId="0" applyNumberFormat="0" applyBorder="0" applyAlignment="0" applyProtection="0"/>
    <xf numFmtId="0" fontId="25" fillId="33" borderId="0" applyNumberFormat="0" applyBorder="0" applyAlignment="0" applyProtection="0"/>
    <xf numFmtId="0" fontId="25" fillId="36" borderId="0" applyNumberFormat="0" applyBorder="0" applyAlignment="0" applyProtection="0"/>
    <xf numFmtId="0" fontId="25" fillId="37" borderId="0" applyNumberFormat="0" applyBorder="0" applyAlignment="0" applyProtection="0"/>
    <xf numFmtId="0" fontId="25" fillId="14" borderId="41" applyNumberFormat="0" applyFont="0" applyAlignment="0" applyProtection="0"/>
    <xf numFmtId="0" fontId="25" fillId="16" borderId="0" applyNumberFormat="0" applyBorder="0" applyAlignment="0" applyProtection="0"/>
    <xf numFmtId="0" fontId="25" fillId="17" borderId="0" applyNumberFormat="0" applyBorder="0" applyAlignment="0" applyProtection="0"/>
    <xf numFmtId="0" fontId="25" fillId="20" borderId="0" applyNumberFormat="0" applyBorder="0" applyAlignment="0" applyProtection="0"/>
    <xf numFmtId="0" fontId="25" fillId="21" borderId="0" applyNumberFormat="0" applyBorder="0" applyAlignment="0" applyProtection="0"/>
    <xf numFmtId="0" fontId="25" fillId="24" borderId="0" applyNumberFormat="0" applyBorder="0" applyAlignment="0" applyProtection="0"/>
    <xf numFmtId="0" fontId="25" fillId="25" borderId="0" applyNumberFormat="0" applyBorder="0" applyAlignment="0" applyProtection="0"/>
    <xf numFmtId="0" fontId="25" fillId="28" borderId="0" applyNumberFormat="0" applyBorder="0" applyAlignment="0" applyProtection="0"/>
    <xf numFmtId="0" fontId="25" fillId="29" borderId="0" applyNumberFormat="0" applyBorder="0" applyAlignment="0" applyProtection="0"/>
    <xf numFmtId="0" fontId="25" fillId="32" borderId="0" applyNumberFormat="0" applyBorder="0" applyAlignment="0" applyProtection="0"/>
    <xf numFmtId="0" fontId="25" fillId="33" borderId="0" applyNumberFormat="0" applyBorder="0" applyAlignment="0" applyProtection="0"/>
    <xf numFmtId="0" fontId="25" fillId="36" borderId="0" applyNumberFormat="0" applyBorder="0" applyAlignment="0" applyProtection="0"/>
    <xf numFmtId="0" fontId="25" fillId="37" borderId="0" applyNumberFormat="0" applyBorder="0" applyAlignment="0" applyProtection="0"/>
    <xf numFmtId="0" fontId="25" fillId="0" borderId="0"/>
    <xf numFmtId="0" fontId="25" fillId="14" borderId="41" applyNumberFormat="0" applyFont="0" applyAlignment="0" applyProtection="0"/>
    <xf numFmtId="0" fontId="25" fillId="16" borderId="0" applyNumberFormat="0" applyBorder="0" applyAlignment="0" applyProtection="0"/>
    <xf numFmtId="0" fontId="25" fillId="17" borderId="0" applyNumberFormat="0" applyBorder="0" applyAlignment="0" applyProtection="0"/>
    <xf numFmtId="0" fontId="25" fillId="20" borderId="0" applyNumberFormat="0" applyBorder="0" applyAlignment="0" applyProtection="0"/>
    <xf numFmtId="0" fontId="25" fillId="21" borderId="0" applyNumberFormat="0" applyBorder="0" applyAlignment="0" applyProtection="0"/>
    <xf numFmtId="0" fontId="25" fillId="24" borderId="0" applyNumberFormat="0" applyBorder="0" applyAlignment="0" applyProtection="0"/>
    <xf numFmtId="0" fontId="25" fillId="25" borderId="0" applyNumberFormat="0" applyBorder="0" applyAlignment="0" applyProtection="0"/>
    <xf numFmtId="0" fontId="25" fillId="28" borderId="0" applyNumberFormat="0" applyBorder="0" applyAlignment="0" applyProtection="0"/>
    <xf numFmtId="0" fontId="25" fillId="29" borderId="0" applyNumberFormat="0" applyBorder="0" applyAlignment="0" applyProtection="0"/>
    <xf numFmtId="0" fontId="25" fillId="32" borderId="0" applyNumberFormat="0" applyBorder="0" applyAlignment="0" applyProtection="0"/>
    <xf numFmtId="0" fontId="25" fillId="33" borderId="0" applyNumberFormat="0" applyBorder="0" applyAlignment="0" applyProtection="0"/>
    <xf numFmtId="0" fontId="25" fillId="36" borderId="0" applyNumberFormat="0" applyBorder="0" applyAlignment="0" applyProtection="0"/>
    <xf numFmtId="0" fontId="25" fillId="37" borderId="0" applyNumberFormat="0" applyBorder="0" applyAlignment="0" applyProtection="0"/>
    <xf numFmtId="0" fontId="25" fillId="14" borderId="41" applyNumberFormat="0" applyFont="0" applyAlignment="0" applyProtection="0"/>
    <xf numFmtId="0" fontId="25" fillId="16" borderId="0" applyNumberFormat="0" applyBorder="0" applyAlignment="0" applyProtection="0"/>
    <xf numFmtId="0" fontId="25" fillId="17" borderId="0" applyNumberFormat="0" applyBorder="0" applyAlignment="0" applyProtection="0"/>
    <xf numFmtId="0" fontId="25" fillId="20" borderId="0" applyNumberFormat="0" applyBorder="0" applyAlignment="0" applyProtection="0"/>
    <xf numFmtId="0" fontId="25" fillId="21" borderId="0" applyNumberFormat="0" applyBorder="0" applyAlignment="0" applyProtection="0"/>
    <xf numFmtId="0" fontId="25" fillId="24" borderId="0" applyNumberFormat="0" applyBorder="0" applyAlignment="0" applyProtection="0"/>
    <xf numFmtId="0" fontId="25" fillId="25" borderId="0" applyNumberFormat="0" applyBorder="0" applyAlignment="0" applyProtection="0"/>
    <xf numFmtId="0" fontId="25" fillId="28" borderId="0" applyNumberFormat="0" applyBorder="0" applyAlignment="0" applyProtection="0"/>
    <xf numFmtId="0" fontId="25" fillId="29" borderId="0" applyNumberFormat="0" applyBorder="0" applyAlignment="0" applyProtection="0"/>
    <xf numFmtId="0" fontId="25" fillId="32" borderId="0" applyNumberFormat="0" applyBorder="0" applyAlignment="0" applyProtection="0"/>
    <xf numFmtId="0" fontId="25" fillId="33" borderId="0" applyNumberFormat="0" applyBorder="0" applyAlignment="0" applyProtection="0"/>
    <xf numFmtId="0" fontId="25" fillId="36" borderId="0" applyNumberFormat="0" applyBorder="0" applyAlignment="0" applyProtection="0"/>
    <xf numFmtId="0" fontId="25" fillId="37" borderId="0" applyNumberFormat="0" applyBorder="0" applyAlignment="0" applyProtection="0"/>
    <xf numFmtId="0" fontId="25" fillId="0" borderId="0"/>
    <xf numFmtId="0" fontId="25" fillId="14" borderId="41" applyNumberFormat="0" applyFont="0" applyAlignment="0" applyProtection="0"/>
    <xf numFmtId="0" fontId="25" fillId="16" borderId="0" applyNumberFormat="0" applyBorder="0" applyAlignment="0" applyProtection="0"/>
    <xf numFmtId="0" fontId="25" fillId="17" borderId="0" applyNumberFormat="0" applyBorder="0" applyAlignment="0" applyProtection="0"/>
    <xf numFmtId="0" fontId="25" fillId="20" borderId="0" applyNumberFormat="0" applyBorder="0" applyAlignment="0" applyProtection="0"/>
    <xf numFmtId="0" fontId="25" fillId="21" borderId="0" applyNumberFormat="0" applyBorder="0" applyAlignment="0" applyProtection="0"/>
    <xf numFmtId="0" fontId="25" fillId="24" borderId="0" applyNumberFormat="0" applyBorder="0" applyAlignment="0" applyProtection="0"/>
    <xf numFmtId="0" fontId="25" fillId="25" borderId="0" applyNumberFormat="0" applyBorder="0" applyAlignment="0" applyProtection="0"/>
    <xf numFmtId="0" fontId="25" fillId="28" borderId="0" applyNumberFormat="0" applyBorder="0" applyAlignment="0" applyProtection="0"/>
    <xf numFmtId="0" fontId="25" fillId="29" borderId="0" applyNumberFormat="0" applyBorder="0" applyAlignment="0" applyProtection="0"/>
    <xf numFmtId="0" fontId="25" fillId="32" borderId="0" applyNumberFormat="0" applyBorder="0" applyAlignment="0" applyProtection="0"/>
    <xf numFmtId="0" fontId="25" fillId="33" borderId="0" applyNumberFormat="0" applyBorder="0" applyAlignment="0" applyProtection="0"/>
    <xf numFmtId="0" fontId="25" fillId="36" borderId="0" applyNumberFormat="0" applyBorder="0" applyAlignment="0" applyProtection="0"/>
    <xf numFmtId="0" fontId="25" fillId="37" borderId="0" applyNumberFormat="0" applyBorder="0" applyAlignment="0" applyProtection="0"/>
    <xf numFmtId="0" fontId="25" fillId="14" borderId="41" applyNumberFormat="0" applyFont="0" applyAlignment="0" applyProtection="0"/>
    <xf numFmtId="0" fontId="25" fillId="16" borderId="0" applyNumberFormat="0" applyBorder="0" applyAlignment="0" applyProtection="0"/>
    <xf numFmtId="0" fontId="25" fillId="17" borderId="0" applyNumberFormat="0" applyBorder="0" applyAlignment="0" applyProtection="0"/>
    <xf numFmtId="0" fontId="25" fillId="20" borderId="0" applyNumberFormat="0" applyBorder="0" applyAlignment="0" applyProtection="0"/>
    <xf numFmtId="0" fontId="25" fillId="21" borderId="0" applyNumberFormat="0" applyBorder="0" applyAlignment="0" applyProtection="0"/>
    <xf numFmtId="0" fontId="25" fillId="24" borderId="0" applyNumberFormat="0" applyBorder="0" applyAlignment="0" applyProtection="0"/>
    <xf numFmtId="0" fontId="25" fillId="25" borderId="0" applyNumberFormat="0" applyBorder="0" applyAlignment="0" applyProtection="0"/>
    <xf numFmtId="0" fontId="25" fillId="28" borderId="0" applyNumberFormat="0" applyBorder="0" applyAlignment="0" applyProtection="0"/>
    <xf numFmtId="0" fontId="25" fillId="29" borderId="0" applyNumberFormat="0" applyBorder="0" applyAlignment="0" applyProtection="0"/>
    <xf numFmtId="0" fontId="25" fillId="32" borderId="0" applyNumberFormat="0" applyBorder="0" applyAlignment="0" applyProtection="0"/>
    <xf numFmtId="0" fontId="25" fillId="33" borderId="0" applyNumberFormat="0" applyBorder="0" applyAlignment="0" applyProtection="0"/>
    <xf numFmtId="0" fontId="25" fillId="36" borderId="0" applyNumberFormat="0" applyBorder="0" applyAlignment="0" applyProtection="0"/>
    <xf numFmtId="0" fontId="25" fillId="37" borderId="0" applyNumberFormat="0" applyBorder="0" applyAlignment="0" applyProtection="0"/>
    <xf numFmtId="168" fontId="25" fillId="0" borderId="0" applyFont="0" applyFill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16" borderId="0" applyNumberFormat="0" applyBorder="0" applyAlignment="0" applyProtection="0"/>
    <xf numFmtId="0" fontId="25" fillId="16" borderId="0" applyNumberFormat="0" applyBorder="0" applyAlignment="0" applyProtection="0"/>
    <xf numFmtId="0" fontId="25" fillId="16" borderId="0" applyNumberFormat="0" applyBorder="0" applyAlignment="0" applyProtection="0"/>
    <xf numFmtId="0" fontId="25" fillId="16" borderId="0" applyNumberFormat="0" applyBorder="0" applyAlignment="0" applyProtection="0"/>
    <xf numFmtId="0" fontId="25" fillId="16" borderId="0" applyNumberFormat="0" applyBorder="0" applyAlignment="0" applyProtection="0"/>
    <xf numFmtId="0" fontId="25" fillId="16" borderId="0" applyNumberFormat="0" applyBorder="0" applyAlignment="0" applyProtection="0"/>
    <xf numFmtId="0" fontId="25" fillId="16" borderId="0" applyNumberFormat="0" applyBorder="0" applyAlignment="0" applyProtection="0"/>
    <xf numFmtId="0" fontId="25" fillId="20" borderId="0" applyNumberFormat="0" applyBorder="0" applyAlignment="0" applyProtection="0"/>
    <xf numFmtId="0" fontId="25" fillId="20" borderId="0" applyNumberFormat="0" applyBorder="0" applyAlignment="0" applyProtection="0"/>
    <xf numFmtId="0" fontId="25" fillId="20" borderId="0" applyNumberFormat="0" applyBorder="0" applyAlignment="0" applyProtection="0"/>
    <xf numFmtId="0" fontId="25" fillId="20" borderId="0" applyNumberFormat="0" applyBorder="0" applyAlignment="0" applyProtection="0"/>
    <xf numFmtId="0" fontId="25" fillId="20" borderId="0" applyNumberFormat="0" applyBorder="0" applyAlignment="0" applyProtection="0"/>
    <xf numFmtId="0" fontId="25" fillId="20" borderId="0" applyNumberFormat="0" applyBorder="0" applyAlignment="0" applyProtection="0"/>
    <xf numFmtId="0" fontId="25" fillId="20" borderId="0" applyNumberFormat="0" applyBorder="0" applyAlignment="0" applyProtection="0"/>
    <xf numFmtId="0" fontId="25" fillId="24" borderId="0" applyNumberFormat="0" applyBorder="0" applyAlignment="0" applyProtection="0"/>
    <xf numFmtId="0" fontId="25" fillId="24" borderId="0" applyNumberFormat="0" applyBorder="0" applyAlignment="0" applyProtection="0"/>
    <xf numFmtId="0" fontId="25" fillId="24" borderId="0" applyNumberFormat="0" applyBorder="0" applyAlignment="0" applyProtection="0"/>
    <xf numFmtId="0" fontId="25" fillId="24" borderId="0" applyNumberFormat="0" applyBorder="0" applyAlignment="0" applyProtection="0"/>
    <xf numFmtId="0" fontId="25" fillId="24" borderId="0" applyNumberFormat="0" applyBorder="0" applyAlignment="0" applyProtection="0"/>
    <xf numFmtId="0" fontId="25" fillId="24" borderId="0" applyNumberFormat="0" applyBorder="0" applyAlignment="0" applyProtection="0"/>
    <xf numFmtId="0" fontId="25" fillId="24" borderId="0" applyNumberFormat="0" applyBorder="0" applyAlignment="0" applyProtection="0"/>
    <xf numFmtId="0" fontId="25" fillId="28" borderId="0" applyNumberFormat="0" applyBorder="0" applyAlignment="0" applyProtection="0"/>
    <xf numFmtId="0" fontId="25" fillId="28" borderId="0" applyNumberFormat="0" applyBorder="0" applyAlignment="0" applyProtection="0"/>
    <xf numFmtId="0" fontId="25" fillId="28" borderId="0" applyNumberFormat="0" applyBorder="0" applyAlignment="0" applyProtection="0"/>
    <xf numFmtId="0" fontId="25" fillId="28" borderId="0" applyNumberFormat="0" applyBorder="0" applyAlignment="0" applyProtection="0"/>
    <xf numFmtId="0" fontId="25" fillId="28" borderId="0" applyNumberFormat="0" applyBorder="0" applyAlignment="0" applyProtection="0"/>
    <xf numFmtId="0" fontId="25" fillId="28" borderId="0" applyNumberFormat="0" applyBorder="0" applyAlignment="0" applyProtection="0"/>
    <xf numFmtId="0" fontId="25" fillId="28" borderId="0" applyNumberFormat="0" applyBorder="0" applyAlignment="0" applyProtection="0"/>
    <xf numFmtId="0" fontId="25" fillId="32" borderId="0" applyNumberFormat="0" applyBorder="0" applyAlignment="0" applyProtection="0"/>
    <xf numFmtId="0" fontId="25" fillId="32" borderId="0" applyNumberFormat="0" applyBorder="0" applyAlignment="0" applyProtection="0"/>
    <xf numFmtId="0" fontId="25" fillId="32" borderId="0" applyNumberFormat="0" applyBorder="0" applyAlignment="0" applyProtection="0"/>
    <xf numFmtId="0" fontId="25" fillId="32" borderId="0" applyNumberFormat="0" applyBorder="0" applyAlignment="0" applyProtection="0"/>
    <xf numFmtId="0" fontId="25" fillId="32" borderId="0" applyNumberFormat="0" applyBorder="0" applyAlignment="0" applyProtection="0"/>
    <xf numFmtId="0" fontId="25" fillId="32" borderId="0" applyNumberFormat="0" applyBorder="0" applyAlignment="0" applyProtection="0"/>
    <xf numFmtId="0" fontId="25" fillId="32" borderId="0" applyNumberFormat="0" applyBorder="0" applyAlignment="0" applyProtection="0"/>
    <xf numFmtId="0" fontId="25" fillId="36" borderId="0" applyNumberFormat="0" applyBorder="0" applyAlignment="0" applyProtection="0"/>
    <xf numFmtId="0" fontId="25" fillId="36" borderId="0" applyNumberFormat="0" applyBorder="0" applyAlignment="0" applyProtection="0"/>
    <xf numFmtId="0" fontId="25" fillId="36" borderId="0" applyNumberFormat="0" applyBorder="0" applyAlignment="0" applyProtection="0"/>
    <xf numFmtId="0" fontId="25" fillId="36" borderId="0" applyNumberFormat="0" applyBorder="0" applyAlignment="0" applyProtection="0"/>
    <xf numFmtId="0" fontId="25" fillId="36" borderId="0" applyNumberFormat="0" applyBorder="0" applyAlignment="0" applyProtection="0"/>
    <xf numFmtId="0" fontId="25" fillId="36" borderId="0" applyNumberFormat="0" applyBorder="0" applyAlignment="0" applyProtection="0"/>
    <xf numFmtId="0" fontId="25" fillId="36" borderId="0" applyNumberFormat="0" applyBorder="0" applyAlignment="0" applyProtection="0"/>
    <xf numFmtId="0" fontId="25" fillId="17" borderId="0" applyNumberFormat="0" applyBorder="0" applyAlignment="0" applyProtection="0"/>
    <xf numFmtId="0" fontId="25" fillId="17" borderId="0" applyNumberFormat="0" applyBorder="0" applyAlignment="0" applyProtection="0"/>
    <xf numFmtId="0" fontId="25" fillId="17" borderId="0" applyNumberFormat="0" applyBorder="0" applyAlignment="0" applyProtection="0"/>
    <xf numFmtId="0" fontId="25" fillId="17" borderId="0" applyNumberFormat="0" applyBorder="0" applyAlignment="0" applyProtection="0"/>
    <xf numFmtId="0" fontId="25" fillId="17" borderId="0" applyNumberFormat="0" applyBorder="0" applyAlignment="0" applyProtection="0"/>
    <xf numFmtId="0" fontId="25" fillId="17" borderId="0" applyNumberFormat="0" applyBorder="0" applyAlignment="0" applyProtection="0"/>
    <xf numFmtId="0" fontId="25" fillId="17" borderId="0" applyNumberFormat="0" applyBorder="0" applyAlignment="0" applyProtection="0"/>
    <xf numFmtId="0" fontId="25" fillId="21" borderId="0" applyNumberFormat="0" applyBorder="0" applyAlignment="0" applyProtection="0"/>
    <xf numFmtId="0" fontId="25" fillId="21" borderId="0" applyNumberFormat="0" applyBorder="0" applyAlignment="0" applyProtection="0"/>
    <xf numFmtId="0" fontId="25" fillId="21" borderId="0" applyNumberFormat="0" applyBorder="0" applyAlignment="0" applyProtection="0"/>
    <xf numFmtId="0" fontId="25" fillId="21" borderId="0" applyNumberFormat="0" applyBorder="0" applyAlignment="0" applyProtection="0"/>
    <xf numFmtId="0" fontId="25" fillId="21" borderId="0" applyNumberFormat="0" applyBorder="0" applyAlignment="0" applyProtection="0"/>
    <xf numFmtId="0" fontId="25" fillId="21" borderId="0" applyNumberFormat="0" applyBorder="0" applyAlignment="0" applyProtection="0"/>
    <xf numFmtId="0" fontId="25" fillId="21" borderId="0" applyNumberFormat="0" applyBorder="0" applyAlignment="0" applyProtection="0"/>
    <xf numFmtId="0" fontId="25" fillId="25" borderId="0" applyNumberFormat="0" applyBorder="0" applyAlignment="0" applyProtection="0"/>
    <xf numFmtId="0" fontId="25" fillId="25" borderId="0" applyNumberFormat="0" applyBorder="0" applyAlignment="0" applyProtection="0"/>
    <xf numFmtId="0" fontId="25" fillId="25" borderId="0" applyNumberFormat="0" applyBorder="0" applyAlignment="0" applyProtection="0"/>
    <xf numFmtId="0" fontId="25" fillId="25" borderId="0" applyNumberFormat="0" applyBorder="0" applyAlignment="0" applyProtection="0"/>
    <xf numFmtId="0" fontId="25" fillId="25" borderId="0" applyNumberFormat="0" applyBorder="0" applyAlignment="0" applyProtection="0"/>
    <xf numFmtId="0" fontId="25" fillId="25" borderId="0" applyNumberFormat="0" applyBorder="0" applyAlignment="0" applyProtection="0"/>
    <xf numFmtId="0" fontId="25" fillId="25" borderId="0" applyNumberFormat="0" applyBorder="0" applyAlignment="0" applyProtection="0"/>
    <xf numFmtId="0" fontId="25" fillId="29" borderId="0" applyNumberFormat="0" applyBorder="0" applyAlignment="0" applyProtection="0"/>
    <xf numFmtId="0" fontId="25" fillId="29" borderId="0" applyNumberFormat="0" applyBorder="0" applyAlignment="0" applyProtection="0"/>
    <xf numFmtId="0" fontId="25" fillId="29" borderId="0" applyNumberFormat="0" applyBorder="0" applyAlignment="0" applyProtection="0"/>
    <xf numFmtId="0" fontId="25" fillId="29" borderId="0" applyNumberFormat="0" applyBorder="0" applyAlignment="0" applyProtection="0"/>
    <xf numFmtId="0" fontId="25" fillId="29" borderId="0" applyNumberFormat="0" applyBorder="0" applyAlignment="0" applyProtection="0"/>
    <xf numFmtId="0" fontId="25" fillId="29" borderId="0" applyNumberFormat="0" applyBorder="0" applyAlignment="0" applyProtection="0"/>
    <xf numFmtId="0" fontId="25" fillId="29" borderId="0" applyNumberFormat="0" applyBorder="0" applyAlignment="0" applyProtection="0"/>
    <xf numFmtId="0" fontId="25" fillId="33" borderId="0" applyNumberFormat="0" applyBorder="0" applyAlignment="0" applyProtection="0"/>
    <xf numFmtId="0" fontId="25" fillId="33" borderId="0" applyNumberFormat="0" applyBorder="0" applyAlignment="0" applyProtection="0"/>
    <xf numFmtId="0" fontId="25" fillId="33" borderId="0" applyNumberFormat="0" applyBorder="0" applyAlignment="0" applyProtection="0"/>
    <xf numFmtId="0" fontId="25" fillId="33" borderId="0" applyNumberFormat="0" applyBorder="0" applyAlignment="0" applyProtection="0"/>
    <xf numFmtId="0" fontId="25" fillId="33" borderId="0" applyNumberFormat="0" applyBorder="0" applyAlignment="0" applyProtection="0"/>
    <xf numFmtId="0" fontId="25" fillId="33" borderId="0" applyNumberFormat="0" applyBorder="0" applyAlignment="0" applyProtection="0"/>
    <xf numFmtId="0" fontId="25" fillId="33" borderId="0" applyNumberFormat="0" applyBorder="0" applyAlignment="0" applyProtection="0"/>
    <xf numFmtId="0" fontId="25" fillId="37" borderId="0" applyNumberFormat="0" applyBorder="0" applyAlignment="0" applyProtection="0"/>
    <xf numFmtId="0" fontId="25" fillId="37" borderId="0" applyNumberFormat="0" applyBorder="0" applyAlignment="0" applyProtection="0"/>
    <xf numFmtId="0" fontId="25" fillId="37" borderId="0" applyNumberFormat="0" applyBorder="0" applyAlignment="0" applyProtection="0"/>
    <xf numFmtId="0" fontId="25" fillId="37" borderId="0" applyNumberFormat="0" applyBorder="0" applyAlignment="0" applyProtection="0"/>
    <xf numFmtId="0" fontId="25" fillId="37" borderId="0" applyNumberFormat="0" applyBorder="0" applyAlignment="0" applyProtection="0"/>
    <xf numFmtId="0" fontId="25" fillId="37" borderId="0" applyNumberFormat="0" applyBorder="0" applyAlignment="0" applyProtection="0"/>
    <xf numFmtId="0" fontId="25" fillId="37" borderId="0" applyNumberFormat="0" applyBorder="0" applyAlignment="0" applyProtection="0"/>
    <xf numFmtId="167" fontId="25" fillId="0" borderId="0" applyFont="0" applyFill="0" applyBorder="0" applyAlignment="0" applyProtection="0"/>
    <xf numFmtId="168" fontId="25" fillId="0" borderId="0" applyFont="0" applyFill="0" applyBorder="0" applyAlignment="0" applyProtection="0"/>
    <xf numFmtId="168" fontId="25" fillId="0" borderId="0" applyFont="0" applyFill="0" applyBorder="0" applyAlignment="0" applyProtection="0"/>
    <xf numFmtId="0" fontId="25" fillId="14" borderId="41" applyNumberFormat="0" applyFont="0" applyAlignment="0" applyProtection="0"/>
    <xf numFmtId="0" fontId="25" fillId="14" borderId="41" applyNumberFormat="0" applyFont="0" applyAlignment="0" applyProtection="0"/>
    <xf numFmtId="0" fontId="25" fillId="14" borderId="41" applyNumberFormat="0" applyFont="0" applyAlignment="0" applyProtection="0"/>
    <xf numFmtId="0" fontId="25" fillId="14" borderId="41" applyNumberFormat="0" applyFont="0" applyAlignment="0" applyProtection="0"/>
    <xf numFmtId="0" fontId="25" fillId="14" borderId="41" applyNumberFormat="0" applyFont="0" applyAlignment="0" applyProtection="0"/>
    <xf numFmtId="0" fontId="25" fillId="14" borderId="41" applyNumberFormat="0" applyFont="0" applyAlignment="0" applyProtection="0"/>
    <xf numFmtId="0" fontId="25" fillId="14" borderId="41" applyNumberFormat="0" applyFont="0" applyAlignment="0" applyProtection="0"/>
    <xf numFmtId="9" fontId="25" fillId="0" borderId="0" applyFont="0" applyFill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169" fontId="25" fillId="0" borderId="0" applyFont="0" applyFill="0" applyBorder="0" applyAlignment="0" applyProtection="0"/>
    <xf numFmtId="0" fontId="25" fillId="16" borderId="0" applyNumberFormat="0" applyBorder="0" applyAlignment="0" applyProtection="0"/>
    <xf numFmtId="0" fontId="25" fillId="17" borderId="0" applyNumberFormat="0" applyBorder="0" applyAlignment="0" applyProtection="0"/>
    <xf numFmtId="0" fontId="25" fillId="20" borderId="0" applyNumberFormat="0" applyBorder="0" applyAlignment="0" applyProtection="0"/>
    <xf numFmtId="0" fontId="25" fillId="21" borderId="0" applyNumberFormat="0" applyBorder="0" applyAlignment="0" applyProtection="0"/>
    <xf numFmtId="0" fontId="25" fillId="24" borderId="0" applyNumberFormat="0" applyBorder="0" applyAlignment="0" applyProtection="0"/>
    <xf numFmtId="0" fontId="25" fillId="25" borderId="0" applyNumberFormat="0" applyBorder="0" applyAlignment="0" applyProtection="0"/>
    <xf numFmtId="0" fontId="25" fillId="28" borderId="0" applyNumberFormat="0" applyBorder="0" applyAlignment="0" applyProtection="0"/>
    <xf numFmtId="0" fontId="25" fillId="29" borderId="0" applyNumberFormat="0" applyBorder="0" applyAlignment="0" applyProtection="0"/>
    <xf numFmtId="0" fontId="25" fillId="32" borderId="0" applyNumberFormat="0" applyBorder="0" applyAlignment="0" applyProtection="0"/>
    <xf numFmtId="0" fontId="25" fillId="33" borderId="0" applyNumberFormat="0" applyBorder="0" applyAlignment="0" applyProtection="0"/>
    <xf numFmtId="0" fontId="25" fillId="36" borderId="0" applyNumberFormat="0" applyBorder="0" applyAlignment="0" applyProtection="0"/>
    <xf numFmtId="0" fontId="25" fillId="37" borderId="0" applyNumberFormat="0" applyBorder="0" applyAlignment="0" applyProtection="0"/>
    <xf numFmtId="0" fontId="25" fillId="0" borderId="0"/>
    <xf numFmtId="0" fontId="25" fillId="14" borderId="41" applyNumberFormat="0" applyFont="0" applyAlignment="0" applyProtection="0"/>
    <xf numFmtId="168" fontId="25" fillId="0" borderId="0" applyFont="0" applyFill="0" applyBorder="0" applyAlignment="0" applyProtection="0"/>
    <xf numFmtId="169" fontId="25" fillId="0" borderId="0" applyFont="0" applyFill="0" applyBorder="0" applyAlignment="0" applyProtection="0"/>
    <xf numFmtId="0" fontId="25" fillId="16" borderId="0" applyNumberFormat="0" applyBorder="0" applyAlignment="0" applyProtection="0"/>
    <xf numFmtId="0" fontId="25" fillId="20" borderId="0" applyNumberFormat="0" applyBorder="0" applyAlignment="0" applyProtection="0"/>
    <xf numFmtId="0" fontId="25" fillId="24" borderId="0" applyNumberFormat="0" applyBorder="0" applyAlignment="0" applyProtection="0"/>
    <xf numFmtId="0" fontId="25" fillId="28" borderId="0" applyNumberFormat="0" applyBorder="0" applyAlignment="0" applyProtection="0"/>
    <xf numFmtId="0" fontId="25" fillId="32" borderId="0" applyNumberFormat="0" applyBorder="0" applyAlignment="0" applyProtection="0"/>
    <xf numFmtId="0" fontId="25" fillId="36" borderId="0" applyNumberFormat="0" applyBorder="0" applyAlignment="0" applyProtection="0"/>
    <xf numFmtId="0" fontId="25" fillId="17" borderId="0" applyNumberFormat="0" applyBorder="0" applyAlignment="0" applyProtection="0"/>
    <xf numFmtId="0" fontId="25" fillId="21" borderId="0" applyNumberFormat="0" applyBorder="0" applyAlignment="0" applyProtection="0"/>
    <xf numFmtId="0" fontId="25" fillId="25" borderId="0" applyNumberFormat="0" applyBorder="0" applyAlignment="0" applyProtection="0"/>
    <xf numFmtId="0" fontId="25" fillId="29" borderId="0" applyNumberFormat="0" applyBorder="0" applyAlignment="0" applyProtection="0"/>
    <xf numFmtId="0" fontId="25" fillId="33" borderId="0" applyNumberFormat="0" applyBorder="0" applyAlignment="0" applyProtection="0"/>
    <xf numFmtId="0" fontId="25" fillId="37" borderId="0" applyNumberFormat="0" applyBorder="0" applyAlignment="0" applyProtection="0"/>
    <xf numFmtId="167" fontId="25" fillId="0" borderId="0" applyFont="0" applyFill="0" applyBorder="0" applyAlignment="0" applyProtection="0"/>
    <xf numFmtId="0" fontId="25" fillId="14" borderId="41" applyNumberFormat="0" applyFont="0" applyAlignment="0" applyProtection="0"/>
    <xf numFmtId="0" fontId="25" fillId="14" borderId="41" applyNumberFormat="0" applyFont="0" applyAlignment="0" applyProtection="0"/>
    <xf numFmtId="9" fontId="25" fillId="0" borderId="0" applyFont="0" applyFill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16" borderId="0" applyNumberFormat="0" applyBorder="0" applyAlignment="0" applyProtection="0"/>
    <xf numFmtId="0" fontId="25" fillId="17" borderId="0" applyNumberFormat="0" applyBorder="0" applyAlignment="0" applyProtection="0"/>
    <xf numFmtId="0" fontId="25" fillId="20" borderId="0" applyNumberFormat="0" applyBorder="0" applyAlignment="0" applyProtection="0"/>
    <xf numFmtId="0" fontId="25" fillId="21" borderId="0" applyNumberFormat="0" applyBorder="0" applyAlignment="0" applyProtection="0"/>
    <xf numFmtId="0" fontId="25" fillId="24" borderId="0" applyNumberFormat="0" applyBorder="0" applyAlignment="0" applyProtection="0"/>
    <xf numFmtId="0" fontId="25" fillId="25" borderId="0" applyNumberFormat="0" applyBorder="0" applyAlignment="0" applyProtection="0"/>
    <xf numFmtId="0" fontId="25" fillId="28" borderId="0" applyNumberFormat="0" applyBorder="0" applyAlignment="0" applyProtection="0"/>
    <xf numFmtId="0" fontId="25" fillId="29" borderId="0" applyNumberFormat="0" applyBorder="0" applyAlignment="0" applyProtection="0"/>
    <xf numFmtId="0" fontId="25" fillId="32" borderId="0" applyNumberFormat="0" applyBorder="0" applyAlignment="0" applyProtection="0"/>
    <xf numFmtId="0" fontId="25" fillId="33" borderId="0" applyNumberFormat="0" applyBorder="0" applyAlignment="0" applyProtection="0"/>
    <xf numFmtId="0" fontId="25" fillId="36" borderId="0" applyNumberFormat="0" applyBorder="0" applyAlignment="0" applyProtection="0"/>
    <xf numFmtId="0" fontId="25" fillId="37" borderId="0" applyNumberFormat="0" applyBorder="0" applyAlignment="0" applyProtection="0"/>
    <xf numFmtId="0" fontId="25" fillId="14" borderId="41" applyNumberFormat="0" applyFont="0" applyAlignment="0" applyProtection="0"/>
    <xf numFmtId="0" fontId="25" fillId="16" borderId="0" applyNumberFormat="0" applyBorder="0" applyAlignment="0" applyProtection="0"/>
    <xf numFmtId="0" fontId="25" fillId="17" borderId="0" applyNumberFormat="0" applyBorder="0" applyAlignment="0" applyProtection="0"/>
    <xf numFmtId="0" fontId="25" fillId="20" borderId="0" applyNumberFormat="0" applyBorder="0" applyAlignment="0" applyProtection="0"/>
    <xf numFmtId="0" fontId="25" fillId="21" borderId="0" applyNumberFormat="0" applyBorder="0" applyAlignment="0" applyProtection="0"/>
    <xf numFmtId="0" fontId="25" fillId="24" borderId="0" applyNumberFormat="0" applyBorder="0" applyAlignment="0" applyProtection="0"/>
    <xf numFmtId="0" fontId="25" fillId="25" borderId="0" applyNumberFormat="0" applyBorder="0" applyAlignment="0" applyProtection="0"/>
    <xf numFmtId="0" fontId="25" fillId="28" borderId="0" applyNumberFormat="0" applyBorder="0" applyAlignment="0" applyProtection="0"/>
    <xf numFmtId="0" fontId="25" fillId="29" borderId="0" applyNumberFormat="0" applyBorder="0" applyAlignment="0" applyProtection="0"/>
    <xf numFmtId="0" fontId="25" fillId="32" borderId="0" applyNumberFormat="0" applyBorder="0" applyAlignment="0" applyProtection="0"/>
    <xf numFmtId="0" fontId="25" fillId="33" borderId="0" applyNumberFormat="0" applyBorder="0" applyAlignment="0" applyProtection="0"/>
    <xf numFmtId="0" fontId="25" fillId="36" borderId="0" applyNumberFormat="0" applyBorder="0" applyAlignment="0" applyProtection="0"/>
    <xf numFmtId="0" fontId="25" fillId="37" borderId="0" applyNumberFormat="0" applyBorder="0" applyAlignment="0" applyProtection="0"/>
    <xf numFmtId="0" fontId="25" fillId="0" borderId="0"/>
    <xf numFmtId="0" fontId="25" fillId="14" borderId="41" applyNumberFormat="0" applyFont="0" applyAlignment="0" applyProtection="0"/>
    <xf numFmtId="0" fontId="25" fillId="16" borderId="0" applyNumberFormat="0" applyBorder="0" applyAlignment="0" applyProtection="0"/>
    <xf numFmtId="0" fontId="25" fillId="17" borderId="0" applyNumberFormat="0" applyBorder="0" applyAlignment="0" applyProtection="0"/>
    <xf numFmtId="0" fontId="25" fillId="20" borderId="0" applyNumberFormat="0" applyBorder="0" applyAlignment="0" applyProtection="0"/>
    <xf numFmtId="0" fontId="25" fillId="21" borderId="0" applyNumberFormat="0" applyBorder="0" applyAlignment="0" applyProtection="0"/>
    <xf numFmtId="0" fontId="25" fillId="24" borderId="0" applyNumberFormat="0" applyBorder="0" applyAlignment="0" applyProtection="0"/>
    <xf numFmtId="0" fontId="25" fillId="25" borderId="0" applyNumberFormat="0" applyBorder="0" applyAlignment="0" applyProtection="0"/>
    <xf numFmtId="0" fontId="25" fillId="28" borderId="0" applyNumberFormat="0" applyBorder="0" applyAlignment="0" applyProtection="0"/>
    <xf numFmtId="0" fontId="25" fillId="29" borderId="0" applyNumberFormat="0" applyBorder="0" applyAlignment="0" applyProtection="0"/>
    <xf numFmtId="0" fontId="25" fillId="32" borderId="0" applyNumberFormat="0" applyBorder="0" applyAlignment="0" applyProtection="0"/>
    <xf numFmtId="0" fontId="25" fillId="33" borderId="0" applyNumberFormat="0" applyBorder="0" applyAlignment="0" applyProtection="0"/>
    <xf numFmtId="0" fontId="25" fillId="36" borderId="0" applyNumberFormat="0" applyBorder="0" applyAlignment="0" applyProtection="0"/>
    <xf numFmtId="0" fontId="25" fillId="37" borderId="0" applyNumberFormat="0" applyBorder="0" applyAlignment="0" applyProtection="0"/>
    <xf numFmtId="0" fontId="25" fillId="14" borderId="41" applyNumberFormat="0" applyFont="0" applyAlignment="0" applyProtection="0"/>
    <xf numFmtId="0" fontId="25" fillId="16" borderId="0" applyNumberFormat="0" applyBorder="0" applyAlignment="0" applyProtection="0"/>
    <xf numFmtId="0" fontId="25" fillId="17" borderId="0" applyNumberFormat="0" applyBorder="0" applyAlignment="0" applyProtection="0"/>
    <xf numFmtId="0" fontId="25" fillId="20" borderId="0" applyNumberFormat="0" applyBorder="0" applyAlignment="0" applyProtection="0"/>
    <xf numFmtId="0" fontId="25" fillId="21" borderId="0" applyNumberFormat="0" applyBorder="0" applyAlignment="0" applyProtection="0"/>
    <xf numFmtId="0" fontId="25" fillId="24" borderId="0" applyNumberFormat="0" applyBorder="0" applyAlignment="0" applyProtection="0"/>
    <xf numFmtId="0" fontId="25" fillId="25" borderId="0" applyNumberFormat="0" applyBorder="0" applyAlignment="0" applyProtection="0"/>
    <xf numFmtId="0" fontId="25" fillId="28" borderId="0" applyNumberFormat="0" applyBorder="0" applyAlignment="0" applyProtection="0"/>
    <xf numFmtId="0" fontId="25" fillId="29" borderId="0" applyNumberFormat="0" applyBorder="0" applyAlignment="0" applyProtection="0"/>
    <xf numFmtId="0" fontId="25" fillId="32" borderId="0" applyNumberFormat="0" applyBorder="0" applyAlignment="0" applyProtection="0"/>
    <xf numFmtId="0" fontId="25" fillId="33" borderId="0" applyNumberFormat="0" applyBorder="0" applyAlignment="0" applyProtection="0"/>
    <xf numFmtId="0" fontId="25" fillId="36" borderId="0" applyNumberFormat="0" applyBorder="0" applyAlignment="0" applyProtection="0"/>
    <xf numFmtId="0" fontId="25" fillId="37" borderId="0" applyNumberFormat="0" applyBorder="0" applyAlignment="0" applyProtection="0"/>
    <xf numFmtId="0" fontId="25" fillId="0" borderId="0"/>
    <xf numFmtId="0" fontId="25" fillId="14" borderId="41" applyNumberFormat="0" applyFont="0" applyAlignment="0" applyProtection="0"/>
    <xf numFmtId="0" fontId="25" fillId="16" borderId="0" applyNumberFormat="0" applyBorder="0" applyAlignment="0" applyProtection="0"/>
    <xf numFmtId="0" fontId="25" fillId="17" borderId="0" applyNumberFormat="0" applyBorder="0" applyAlignment="0" applyProtection="0"/>
    <xf numFmtId="0" fontId="25" fillId="20" borderId="0" applyNumberFormat="0" applyBorder="0" applyAlignment="0" applyProtection="0"/>
    <xf numFmtId="0" fontId="25" fillId="21" borderId="0" applyNumberFormat="0" applyBorder="0" applyAlignment="0" applyProtection="0"/>
    <xf numFmtId="0" fontId="25" fillId="24" borderId="0" applyNumberFormat="0" applyBorder="0" applyAlignment="0" applyProtection="0"/>
    <xf numFmtId="0" fontId="25" fillId="25" borderId="0" applyNumberFormat="0" applyBorder="0" applyAlignment="0" applyProtection="0"/>
    <xf numFmtId="0" fontId="25" fillId="28" borderId="0" applyNumberFormat="0" applyBorder="0" applyAlignment="0" applyProtection="0"/>
    <xf numFmtId="0" fontId="25" fillId="29" borderId="0" applyNumberFormat="0" applyBorder="0" applyAlignment="0" applyProtection="0"/>
    <xf numFmtId="0" fontId="25" fillId="32" borderId="0" applyNumberFormat="0" applyBorder="0" applyAlignment="0" applyProtection="0"/>
    <xf numFmtId="0" fontId="25" fillId="33" borderId="0" applyNumberFormat="0" applyBorder="0" applyAlignment="0" applyProtection="0"/>
    <xf numFmtId="0" fontId="25" fillId="36" borderId="0" applyNumberFormat="0" applyBorder="0" applyAlignment="0" applyProtection="0"/>
    <xf numFmtId="0" fontId="25" fillId="37" borderId="0" applyNumberFormat="0" applyBorder="0" applyAlignment="0" applyProtection="0"/>
    <xf numFmtId="0" fontId="25" fillId="14" borderId="41" applyNumberFormat="0" applyFont="0" applyAlignment="0" applyProtection="0"/>
    <xf numFmtId="0" fontId="25" fillId="16" borderId="0" applyNumberFormat="0" applyBorder="0" applyAlignment="0" applyProtection="0"/>
    <xf numFmtId="0" fontId="25" fillId="17" borderId="0" applyNumberFormat="0" applyBorder="0" applyAlignment="0" applyProtection="0"/>
    <xf numFmtId="0" fontId="25" fillId="20" borderId="0" applyNumberFormat="0" applyBorder="0" applyAlignment="0" applyProtection="0"/>
    <xf numFmtId="0" fontId="25" fillId="21" borderId="0" applyNumberFormat="0" applyBorder="0" applyAlignment="0" applyProtection="0"/>
    <xf numFmtId="0" fontId="25" fillId="24" borderId="0" applyNumberFormat="0" applyBorder="0" applyAlignment="0" applyProtection="0"/>
    <xf numFmtId="0" fontId="25" fillId="25" borderId="0" applyNumberFormat="0" applyBorder="0" applyAlignment="0" applyProtection="0"/>
    <xf numFmtId="0" fontId="25" fillId="28" borderId="0" applyNumberFormat="0" applyBorder="0" applyAlignment="0" applyProtection="0"/>
    <xf numFmtId="0" fontId="25" fillId="29" borderId="0" applyNumberFormat="0" applyBorder="0" applyAlignment="0" applyProtection="0"/>
    <xf numFmtId="0" fontId="25" fillId="32" borderId="0" applyNumberFormat="0" applyBorder="0" applyAlignment="0" applyProtection="0"/>
    <xf numFmtId="0" fontId="25" fillId="33" borderId="0" applyNumberFormat="0" applyBorder="0" applyAlignment="0" applyProtection="0"/>
    <xf numFmtId="0" fontId="25" fillId="36" borderId="0" applyNumberFormat="0" applyBorder="0" applyAlignment="0" applyProtection="0"/>
    <xf numFmtId="0" fontId="25" fillId="37" borderId="0" applyNumberFormat="0" applyBorder="0" applyAlignment="0" applyProtection="0"/>
    <xf numFmtId="168" fontId="25" fillId="0" borderId="0" applyFont="0" applyFill="0" applyBorder="0" applyAlignment="0" applyProtection="0"/>
    <xf numFmtId="0" fontId="19" fillId="0" borderId="0"/>
    <xf numFmtId="0" fontId="9" fillId="0" borderId="0"/>
    <xf numFmtId="0" fontId="9" fillId="0" borderId="0"/>
    <xf numFmtId="0" fontId="9" fillId="0" borderId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24" borderId="0" applyNumberFormat="0" applyBorder="0" applyAlignment="0" applyProtection="0"/>
    <xf numFmtId="0" fontId="9" fillId="25" borderId="0" applyNumberFormat="0" applyBorder="0" applyAlignment="0" applyProtection="0"/>
    <xf numFmtId="0" fontId="9" fillId="28" borderId="0" applyNumberFormat="0" applyBorder="0" applyAlignment="0" applyProtection="0"/>
    <xf numFmtId="0" fontId="9" fillId="29" borderId="0" applyNumberFormat="0" applyBorder="0" applyAlignment="0" applyProtection="0"/>
    <xf numFmtId="0" fontId="9" fillId="32" borderId="0" applyNumberFormat="0" applyBorder="0" applyAlignment="0" applyProtection="0"/>
    <xf numFmtId="0" fontId="9" fillId="33" borderId="0" applyNumberFormat="0" applyBorder="0" applyAlignment="0" applyProtection="0"/>
    <xf numFmtId="0" fontId="9" fillId="36" borderId="0" applyNumberFormat="0" applyBorder="0" applyAlignment="0" applyProtection="0"/>
    <xf numFmtId="0" fontId="9" fillId="37" borderId="0" applyNumberFormat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167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9" fillId="14" borderId="41" applyNumberFormat="0" applyFont="0" applyAlignment="0" applyProtection="0"/>
    <xf numFmtId="0" fontId="9" fillId="14" borderId="41" applyNumberFormat="0" applyFont="0" applyAlignment="0" applyProtection="0"/>
    <xf numFmtId="0" fontId="9" fillId="14" borderId="41" applyNumberFormat="0" applyFont="0" applyAlignment="0" applyProtection="0"/>
    <xf numFmtId="0" fontId="9" fillId="14" borderId="41" applyNumberFormat="0" applyFont="0" applyAlignment="0" applyProtection="0"/>
    <xf numFmtId="0" fontId="9" fillId="14" borderId="41" applyNumberFormat="0" applyFont="0" applyAlignment="0" applyProtection="0"/>
    <xf numFmtId="0" fontId="9" fillId="14" borderId="41" applyNumberFormat="0" applyFont="0" applyAlignment="0" applyProtection="0"/>
    <xf numFmtId="0" fontId="9" fillId="14" borderId="41" applyNumberFormat="0" applyFont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169" fontId="9" fillId="0" borderId="0" applyFont="0" applyFill="0" applyBorder="0" applyAlignment="0" applyProtection="0"/>
    <xf numFmtId="0" fontId="9" fillId="0" borderId="0"/>
    <xf numFmtId="0" fontId="9" fillId="14" borderId="41" applyNumberFormat="0" applyFont="0" applyAlignment="0" applyProtection="0"/>
    <xf numFmtId="168" fontId="9" fillId="0" borderId="0" applyFont="0" applyFill="0" applyBorder="0" applyAlignment="0" applyProtection="0"/>
    <xf numFmtId="169" fontId="9" fillId="0" borderId="0" applyFont="0" applyFill="0" applyBorder="0" applyAlignment="0" applyProtection="0"/>
    <xf numFmtId="0" fontId="9" fillId="16" borderId="0" applyNumberFormat="0" applyBorder="0" applyAlignment="0" applyProtection="0"/>
    <xf numFmtId="0" fontId="9" fillId="20" borderId="0" applyNumberFormat="0" applyBorder="0" applyAlignment="0" applyProtection="0"/>
    <xf numFmtId="0" fontId="9" fillId="24" borderId="0" applyNumberFormat="0" applyBorder="0" applyAlignment="0" applyProtection="0"/>
    <xf numFmtId="0" fontId="9" fillId="28" borderId="0" applyNumberFormat="0" applyBorder="0" applyAlignment="0" applyProtection="0"/>
    <xf numFmtId="0" fontId="9" fillId="32" borderId="0" applyNumberFormat="0" applyBorder="0" applyAlignment="0" applyProtection="0"/>
    <xf numFmtId="0" fontId="9" fillId="36" borderId="0" applyNumberFormat="0" applyBorder="0" applyAlignment="0" applyProtection="0"/>
    <xf numFmtId="0" fontId="9" fillId="17" borderId="0" applyNumberFormat="0" applyBorder="0" applyAlignment="0" applyProtection="0"/>
    <xf numFmtId="0" fontId="9" fillId="21" borderId="0" applyNumberFormat="0" applyBorder="0" applyAlignment="0" applyProtection="0"/>
    <xf numFmtId="0" fontId="9" fillId="25" borderId="0" applyNumberFormat="0" applyBorder="0" applyAlignment="0" applyProtection="0"/>
    <xf numFmtId="0" fontId="9" fillId="29" borderId="0" applyNumberFormat="0" applyBorder="0" applyAlignment="0" applyProtection="0"/>
    <xf numFmtId="0" fontId="9" fillId="33" borderId="0" applyNumberFormat="0" applyBorder="0" applyAlignment="0" applyProtection="0"/>
    <xf numFmtId="0" fontId="9" fillId="37" borderId="0" applyNumberFormat="0" applyBorder="0" applyAlignment="0" applyProtection="0"/>
    <xf numFmtId="167" fontId="9" fillId="0" borderId="0" applyFont="0" applyFill="0" applyBorder="0" applyAlignment="0" applyProtection="0"/>
    <xf numFmtId="0" fontId="9" fillId="14" borderId="41" applyNumberFormat="0" applyFont="0" applyAlignment="0" applyProtection="0"/>
    <xf numFmtId="0" fontId="9" fillId="14" borderId="41" applyNumberFormat="0" applyFont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24" borderId="0" applyNumberFormat="0" applyBorder="0" applyAlignment="0" applyProtection="0"/>
    <xf numFmtId="0" fontId="9" fillId="25" borderId="0" applyNumberFormat="0" applyBorder="0" applyAlignment="0" applyProtection="0"/>
    <xf numFmtId="0" fontId="9" fillId="28" borderId="0" applyNumberFormat="0" applyBorder="0" applyAlignment="0" applyProtection="0"/>
    <xf numFmtId="0" fontId="9" fillId="29" borderId="0" applyNumberFormat="0" applyBorder="0" applyAlignment="0" applyProtection="0"/>
    <xf numFmtId="0" fontId="9" fillId="32" borderId="0" applyNumberFormat="0" applyBorder="0" applyAlignment="0" applyProtection="0"/>
    <xf numFmtId="0" fontId="9" fillId="33" borderId="0" applyNumberFormat="0" applyBorder="0" applyAlignment="0" applyProtection="0"/>
    <xf numFmtId="0" fontId="9" fillId="36" borderId="0" applyNumberFormat="0" applyBorder="0" applyAlignment="0" applyProtection="0"/>
    <xf numFmtId="0" fontId="9" fillId="37" borderId="0" applyNumberFormat="0" applyBorder="0" applyAlignment="0" applyProtection="0"/>
    <xf numFmtId="0" fontId="9" fillId="14" borderId="41" applyNumberFormat="0" applyFont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24" borderId="0" applyNumberFormat="0" applyBorder="0" applyAlignment="0" applyProtection="0"/>
    <xf numFmtId="0" fontId="9" fillId="25" borderId="0" applyNumberFormat="0" applyBorder="0" applyAlignment="0" applyProtection="0"/>
    <xf numFmtId="0" fontId="9" fillId="28" borderId="0" applyNumberFormat="0" applyBorder="0" applyAlignment="0" applyProtection="0"/>
    <xf numFmtId="0" fontId="9" fillId="29" borderId="0" applyNumberFormat="0" applyBorder="0" applyAlignment="0" applyProtection="0"/>
    <xf numFmtId="0" fontId="9" fillId="32" borderId="0" applyNumberFormat="0" applyBorder="0" applyAlignment="0" applyProtection="0"/>
    <xf numFmtId="0" fontId="9" fillId="33" borderId="0" applyNumberFormat="0" applyBorder="0" applyAlignment="0" applyProtection="0"/>
    <xf numFmtId="0" fontId="9" fillId="36" borderId="0" applyNumberFormat="0" applyBorder="0" applyAlignment="0" applyProtection="0"/>
    <xf numFmtId="0" fontId="9" fillId="37" borderId="0" applyNumberFormat="0" applyBorder="0" applyAlignment="0" applyProtection="0"/>
    <xf numFmtId="0" fontId="9" fillId="0" borderId="0"/>
    <xf numFmtId="0" fontId="9" fillId="14" borderId="41" applyNumberFormat="0" applyFont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24" borderId="0" applyNumberFormat="0" applyBorder="0" applyAlignment="0" applyProtection="0"/>
    <xf numFmtId="0" fontId="9" fillId="25" borderId="0" applyNumberFormat="0" applyBorder="0" applyAlignment="0" applyProtection="0"/>
    <xf numFmtId="0" fontId="9" fillId="28" borderId="0" applyNumberFormat="0" applyBorder="0" applyAlignment="0" applyProtection="0"/>
    <xf numFmtId="0" fontId="9" fillId="29" borderId="0" applyNumberFormat="0" applyBorder="0" applyAlignment="0" applyProtection="0"/>
    <xf numFmtId="0" fontId="9" fillId="32" borderId="0" applyNumberFormat="0" applyBorder="0" applyAlignment="0" applyProtection="0"/>
    <xf numFmtId="0" fontId="9" fillId="33" borderId="0" applyNumberFormat="0" applyBorder="0" applyAlignment="0" applyProtection="0"/>
    <xf numFmtId="0" fontId="9" fillId="36" borderId="0" applyNumberFormat="0" applyBorder="0" applyAlignment="0" applyProtection="0"/>
    <xf numFmtId="0" fontId="9" fillId="37" borderId="0" applyNumberFormat="0" applyBorder="0" applyAlignment="0" applyProtection="0"/>
    <xf numFmtId="0" fontId="9" fillId="14" borderId="41" applyNumberFormat="0" applyFont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24" borderId="0" applyNumberFormat="0" applyBorder="0" applyAlignment="0" applyProtection="0"/>
    <xf numFmtId="0" fontId="9" fillId="25" borderId="0" applyNumberFormat="0" applyBorder="0" applyAlignment="0" applyProtection="0"/>
    <xf numFmtId="0" fontId="9" fillId="28" borderId="0" applyNumberFormat="0" applyBorder="0" applyAlignment="0" applyProtection="0"/>
    <xf numFmtId="0" fontId="9" fillId="29" borderId="0" applyNumberFormat="0" applyBorder="0" applyAlignment="0" applyProtection="0"/>
    <xf numFmtId="0" fontId="9" fillId="32" borderId="0" applyNumberFormat="0" applyBorder="0" applyAlignment="0" applyProtection="0"/>
    <xf numFmtId="0" fontId="9" fillId="33" borderId="0" applyNumberFormat="0" applyBorder="0" applyAlignment="0" applyProtection="0"/>
    <xf numFmtId="0" fontId="9" fillId="36" borderId="0" applyNumberFormat="0" applyBorder="0" applyAlignment="0" applyProtection="0"/>
    <xf numFmtId="0" fontId="9" fillId="37" borderId="0" applyNumberFormat="0" applyBorder="0" applyAlignment="0" applyProtection="0"/>
    <xf numFmtId="0" fontId="9" fillId="0" borderId="0"/>
    <xf numFmtId="0" fontId="9" fillId="14" borderId="41" applyNumberFormat="0" applyFont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24" borderId="0" applyNumberFormat="0" applyBorder="0" applyAlignment="0" applyProtection="0"/>
    <xf numFmtId="0" fontId="9" fillId="25" borderId="0" applyNumberFormat="0" applyBorder="0" applyAlignment="0" applyProtection="0"/>
    <xf numFmtId="0" fontId="9" fillId="28" borderId="0" applyNumberFormat="0" applyBorder="0" applyAlignment="0" applyProtection="0"/>
    <xf numFmtId="0" fontId="9" fillId="29" borderId="0" applyNumberFormat="0" applyBorder="0" applyAlignment="0" applyProtection="0"/>
    <xf numFmtId="0" fontId="9" fillId="32" borderId="0" applyNumberFormat="0" applyBorder="0" applyAlignment="0" applyProtection="0"/>
    <xf numFmtId="0" fontId="9" fillId="33" borderId="0" applyNumberFormat="0" applyBorder="0" applyAlignment="0" applyProtection="0"/>
    <xf numFmtId="0" fontId="9" fillId="36" borderId="0" applyNumberFormat="0" applyBorder="0" applyAlignment="0" applyProtection="0"/>
    <xf numFmtId="0" fontId="9" fillId="37" borderId="0" applyNumberFormat="0" applyBorder="0" applyAlignment="0" applyProtection="0"/>
    <xf numFmtId="0" fontId="9" fillId="14" borderId="41" applyNumberFormat="0" applyFont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24" borderId="0" applyNumberFormat="0" applyBorder="0" applyAlignment="0" applyProtection="0"/>
    <xf numFmtId="0" fontId="9" fillId="25" borderId="0" applyNumberFormat="0" applyBorder="0" applyAlignment="0" applyProtection="0"/>
    <xf numFmtId="0" fontId="9" fillId="28" borderId="0" applyNumberFormat="0" applyBorder="0" applyAlignment="0" applyProtection="0"/>
    <xf numFmtId="0" fontId="9" fillId="29" borderId="0" applyNumberFormat="0" applyBorder="0" applyAlignment="0" applyProtection="0"/>
    <xf numFmtId="0" fontId="9" fillId="32" borderId="0" applyNumberFormat="0" applyBorder="0" applyAlignment="0" applyProtection="0"/>
    <xf numFmtId="0" fontId="9" fillId="33" borderId="0" applyNumberFormat="0" applyBorder="0" applyAlignment="0" applyProtection="0"/>
    <xf numFmtId="0" fontId="9" fillId="36" borderId="0" applyNumberFormat="0" applyBorder="0" applyAlignment="0" applyProtection="0"/>
    <xf numFmtId="0" fontId="9" fillId="37" borderId="0" applyNumberFormat="0" applyBorder="0" applyAlignment="0" applyProtection="0"/>
    <xf numFmtId="168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167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9" fillId="14" borderId="41" applyNumberFormat="0" applyFont="0" applyAlignment="0" applyProtection="0"/>
    <xf numFmtId="0" fontId="9" fillId="14" borderId="41" applyNumberFormat="0" applyFont="0" applyAlignment="0" applyProtection="0"/>
    <xf numFmtId="0" fontId="9" fillId="14" borderId="41" applyNumberFormat="0" applyFont="0" applyAlignment="0" applyProtection="0"/>
    <xf numFmtId="0" fontId="9" fillId="14" borderId="41" applyNumberFormat="0" applyFont="0" applyAlignment="0" applyProtection="0"/>
    <xf numFmtId="0" fontId="9" fillId="14" borderId="41" applyNumberFormat="0" applyFont="0" applyAlignment="0" applyProtection="0"/>
    <xf numFmtId="0" fontId="9" fillId="14" borderId="41" applyNumberFormat="0" applyFont="0" applyAlignment="0" applyProtection="0"/>
    <xf numFmtId="0" fontId="9" fillId="14" borderId="41" applyNumberFormat="0" applyFont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169" fontId="9" fillId="0" borderId="0" applyFont="0" applyFill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24" borderId="0" applyNumberFormat="0" applyBorder="0" applyAlignment="0" applyProtection="0"/>
    <xf numFmtId="0" fontId="9" fillId="25" borderId="0" applyNumberFormat="0" applyBorder="0" applyAlignment="0" applyProtection="0"/>
    <xf numFmtId="0" fontId="9" fillId="28" borderId="0" applyNumberFormat="0" applyBorder="0" applyAlignment="0" applyProtection="0"/>
    <xf numFmtId="0" fontId="9" fillId="29" borderId="0" applyNumberFormat="0" applyBorder="0" applyAlignment="0" applyProtection="0"/>
    <xf numFmtId="0" fontId="9" fillId="32" borderId="0" applyNumberFormat="0" applyBorder="0" applyAlignment="0" applyProtection="0"/>
    <xf numFmtId="0" fontId="9" fillId="33" borderId="0" applyNumberFormat="0" applyBorder="0" applyAlignment="0" applyProtection="0"/>
    <xf numFmtId="0" fontId="9" fillId="36" borderId="0" applyNumberFormat="0" applyBorder="0" applyAlignment="0" applyProtection="0"/>
    <xf numFmtId="0" fontId="9" fillId="37" borderId="0" applyNumberFormat="0" applyBorder="0" applyAlignment="0" applyProtection="0"/>
    <xf numFmtId="0" fontId="9" fillId="0" borderId="0"/>
    <xf numFmtId="0" fontId="9" fillId="14" borderId="41" applyNumberFormat="0" applyFont="0" applyAlignment="0" applyProtection="0"/>
    <xf numFmtId="168" fontId="9" fillId="0" borderId="0" applyFont="0" applyFill="0" applyBorder="0" applyAlignment="0" applyProtection="0"/>
    <xf numFmtId="169" fontId="9" fillId="0" borderId="0" applyFont="0" applyFill="0" applyBorder="0" applyAlignment="0" applyProtection="0"/>
    <xf numFmtId="0" fontId="9" fillId="16" borderId="0" applyNumberFormat="0" applyBorder="0" applyAlignment="0" applyProtection="0"/>
    <xf numFmtId="0" fontId="9" fillId="20" borderId="0" applyNumberFormat="0" applyBorder="0" applyAlignment="0" applyProtection="0"/>
    <xf numFmtId="0" fontId="9" fillId="24" borderId="0" applyNumberFormat="0" applyBorder="0" applyAlignment="0" applyProtection="0"/>
    <xf numFmtId="0" fontId="9" fillId="28" borderId="0" applyNumberFormat="0" applyBorder="0" applyAlignment="0" applyProtection="0"/>
    <xf numFmtId="0" fontId="9" fillId="32" borderId="0" applyNumberFormat="0" applyBorder="0" applyAlignment="0" applyProtection="0"/>
    <xf numFmtId="0" fontId="9" fillId="36" borderId="0" applyNumberFormat="0" applyBorder="0" applyAlignment="0" applyProtection="0"/>
    <xf numFmtId="0" fontId="9" fillId="17" borderId="0" applyNumberFormat="0" applyBorder="0" applyAlignment="0" applyProtection="0"/>
    <xf numFmtId="0" fontId="9" fillId="21" borderId="0" applyNumberFormat="0" applyBorder="0" applyAlignment="0" applyProtection="0"/>
    <xf numFmtId="0" fontId="9" fillId="25" borderId="0" applyNumberFormat="0" applyBorder="0" applyAlignment="0" applyProtection="0"/>
    <xf numFmtId="0" fontId="9" fillId="29" borderId="0" applyNumberFormat="0" applyBorder="0" applyAlignment="0" applyProtection="0"/>
    <xf numFmtId="0" fontId="9" fillId="33" borderId="0" applyNumberFormat="0" applyBorder="0" applyAlignment="0" applyProtection="0"/>
    <xf numFmtId="0" fontId="9" fillId="37" borderId="0" applyNumberFormat="0" applyBorder="0" applyAlignment="0" applyProtection="0"/>
    <xf numFmtId="167" fontId="9" fillId="0" borderId="0" applyFont="0" applyFill="0" applyBorder="0" applyAlignment="0" applyProtection="0"/>
    <xf numFmtId="0" fontId="9" fillId="14" borderId="41" applyNumberFormat="0" applyFont="0" applyAlignment="0" applyProtection="0"/>
    <xf numFmtId="0" fontId="9" fillId="14" borderId="41" applyNumberFormat="0" applyFont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24" borderId="0" applyNumberFormat="0" applyBorder="0" applyAlignment="0" applyProtection="0"/>
    <xf numFmtId="0" fontId="9" fillId="25" borderId="0" applyNumberFormat="0" applyBorder="0" applyAlignment="0" applyProtection="0"/>
    <xf numFmtId="0" fontId="9" fillId="28" borderId="0" applyNumberFormat="0" applyBorder="0" applyAlignment="0" applyProtection="0"/>
    <xf numFmtId="0" fontId="9" fillId="29" borderId="0" applyNumberFormat="0" applyBorder="0" applyAlignment="0" applyProtection="0"/>
    <xf numFmtId="0" fontId="9" fillId="32" borderId="0" applyNumberFormat="0" applyBorder="0" applyAlignment="0" applyProtection="0"/>
    <xf numFmtId="0" fontId="9" fillId="33" borderId="0" applyNumberFormat="0" applyBorder="0" applyAlignment="0" applyProtection="0"/>
    <xf numFmtId="0" fontId="9" fillId="36" borderId="0" applyNumberFormat="0" applyBorder="0" applyAlignment="0" applyProtection="0"/>
    <xf numFmtId="0" fontId="9" fillId="37" borderId="0" applyNumberFormat="0" applyBorder="0" applyAlignment="0" applyProtection="0"/>
    <xf numFmtId="0" fontId="9" fillId="14" borderId="41" applyNumberFormat="0" applyFont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24" borderId="0" applyNumberFormat="0" applyBorder="0" applyAlignment="0" applyProtection="0"/>
    <xf numFmtId="0" fontId="9" fillId="25" borderId="0" applyNumberFormat="0" applyBorder="0" applyAlignment="0" applyProtection="0"/>
    <xf numFmtId="0" fontId="9" fillId="28" borderId="0" applyNumberFormat="0" applyBorder="0" applyAlignment="0" applyProtection="0"/>
    <xf numFmtId="0" fontId="9" fillId="29" borderId="0" applyNumberFormat="0" applyBorder="0" applyAlignment="0" applyProtection="0"/>
    <xf numFmtId="0" fontId="9" fillId="32" borderId="0" applyNumberFormat="0" applyBorder="0" applyAlignment="0" applyProtection="0"/>
    <xf numFmtId="0" fontId="9" fillId="33" borderId="0" applyNumberFormat="0" applyBorder="0" applyAlignment="0" applyProtection="0"/>
    <xf numFmtId="0" fontId="9" fillId="36" borderId="0" applyNumberFormat="0" applyBorder="0" applyAlignment="0" applyProtection="0"/>
    <xf numFmtId="0" fontId="9" fillId="37" borderId="0" applyNumberFormat="0" applyBorder="0" applyAlignment="0" applyProtection="0"/>
    <xf numFmtId="0" fontId="9" fillId="0" borderId="0"/>
    <xf numFmtId="0" fontId="9" fillId="14" borderId="41" applyNumberFormat="0" applyFont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24" borderId="0" applyNumberFormat="0" applyBorder="0" applyAlignment="0" applyProtection="0"/>
    <xf numFmtId="0" fontId="9" fillId="25" borderId="0" applyNumberFormat="0" applyBorder="0" applyAlignment="0" applyProtection="0"/>
    <xf numFmtId="0" fontId="9" fillId="28" borderId="0" applyNumberFormat="0" applyBorder="0" applyAlignment="0" applyProtection="0"/>
    <xf numFmtId="0" fontId="9" fillId="29" borderId="0" applyNumberFormat="0" applyBorder="0" applyAlignment="0" applyProtection="0"/>
    <xf numFmtId="0" fontId="9" fillId="32" borderId="0" applyNumberFormat="0" applyBorder="0" applyAlignment="0" applyProtection="0"/>
    <xf numFmtId="0" fontId="9" fillId="33" borderId="0" applyNumberFormat="0" applyBorder="0" applyAlignment="0" applyProtection="0"/>
    <xf numFmtId="0" fontId="9" fillId="36" borderId="0" applyNumberFormat="0" applyBorder="0" applyAlignment="0" applyProtection="0"/>
    <xf numFmtId="0" fontId="9" fillId="37" borderId="0" applyNumberFormat="0" applyBorder="0" applyAlignment="0" applyProtection="0"/>
    <xf numFmtId="0" fontId="9" fillId="14" borderId="41" applyNumberFormat="0" applyFont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24" borderId="0" applyNumberFormat="0" applyBorder="0" applyAlignment="0" applyProtection="0"/>
    <xf numFmtId="0" fontId="9" fillId="25" borderId="0" applyNumberFormat="0" applyBorder="0" applyAlignment="0" applyProtection="0"/>
    <xf numFmtId="0" fontId="9" fillId="28" borderId="0" applyNumberFormat="0" applyBorder="0" applyAlignment="0" applyProtection="0"/>
    <xf numFmtId="0" fontId="9" fillId="29" borderId="0" applyNumberFormat="0" applyBorder="0" applyAlignment="0" applyProtection="0"/>
    <xf numFmtId="0" fontId="9" fillId="32" borderId="0" applyNumberFormat="0" applyBorder="0" applyAlignment="0" applyProtection="0"/>
    <xf numFmtId="0" fontId="9" fillId="33" borderId="0" applyNumberFormat="0" applyBorder="0" applyAlignment="0" applyProtection="0"/>
    <xf numFmtId="0" fontId="9" fillId="36" borderId="0" applyNumberFormat="0" applyBorder="0" applyAlignment="0" applyProtection="0"/>
    <xf numFmtId="0" fontId="9" fillId="37" borderId="0" applyNumberFormat="0" applyBorder="0" applyAlignment="0" applyProtection="0"/>
    <xf numFmtId="0" fontId="9" fillId="0" borderId="0"/>
    <xf numFmtId="0" fontId="9" fillId="14" borderId="41" applyNumberFormat="0" applyFont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24" borderId="0" applyNumberFormat="0" applyBorder="0" applyAlignment="0" applyProtection="0"/>
    <xf numFmtId="0" fontId="9" fillId="25" borderId="0" applyNumberFormat="0" applyBorder="0" applyAlignment="0" applyProtection="0"/>
    <xf numFmtId="0" fontId="9" fillId="28" borderId="0" applyNumberFormat="0" applyBorder="0" applyAlignment="0" applyProtection="0"/>
    <xf numFmtId="0" fontId="9" fillId="29" borderId="0" applyNumberFormat="0" applyBorder="0" applyAlignment="0" applyProtection="0"/>
    <xf numFmtId="0" fontId="9" fillId="32" borderId="0" applyNumberFormat="0" applyBorder="0" applyAlignment="0" applyProtection="0"/>
    <xf numFmtId="0" fontId="9" fillId="33" borderId="0" applyNumberFormat="0" applyBorder="0" applyAlignment="0" applyProtection="0"/>
    <xf numFmtId="0" fontId="9" fillId="36" borderId="0" applyNumberFormat="0" applyBorder="0" applyAlignment="0" applyProtection="0"/>
    <xf numFmtId="0" fontId="9" fillId="37" borderId="0" applyNumberFormat="0" applyBorder="0" applyAlignment="0" applyProtection="0"/>
    <xf numFmtId="0" fontId="9" fillId="14" borderId="41" applyNumberFormat="0" applyFont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24" borderId="0" applyNumberFormat="0" applyBorder="0" applyAlignment="0" applyProtection="0"/>
    <xf numFmtId="0" fontId="9" fillId="25" borderId="0" applyNumberFormat="0" applyBorder="0" applyAlignment="0" applyProtection="0"/>
    <xf numFmtId="0" fontId="9" fillId="28" borderId="0" applyNumberFormat="0" applyBorder="0" applyAlignment="0" applyProtection="0"/>
    <xf numFmtId="0" fontId="9" fillId="29" borderId="0" applyNumberFormat="0" applyBorder="0" applyAlignment="0" applyProtection="0"/>
    <xf numFmtId="0" fontId="9" fillId="32" borderId="0" applyNumberFormat="0" applyBorder="0" applyAlignment="0" applyProtection="0"/>
    <xf numFmtId="0" fontId="9" fillId="33" borderId="0" applyNumberFormat="0" applyBorder="0" applyAlignment="0" applyProtection="0"/>
    <xf numFmtId="0" fontId="9" fillId="36" borderId="0" applyNumberFormat="0" applyBorder="0" applyAlignment="0" applyProtection="0"/>
    <xf numFmtId="0" fontId="9" fillId="37" borderId="0" applyNumberFormat="0" applyBorder="0" applyAlignment="0" applyProtection="0"/>
    <xf numFmtId="168" fontId="9" fillId="0" borderId="0" applyFont="0" applyFill="0" applyBorder="0" applyAlignment="0" applyProtection="0"/>
    <xf numFmtId="0" fontId="9" fillId="0" borderId="0"/>
    <xf numFmtId="0" fontId="7" fillId="0" borderId="0"/>
    <xf numFmtId="9" fontId="7" fillId="0" borderId="0" applyFont="0" applyFill="0" applyBorder="0" applyAlignment="0" applyProtection="0"/>
    <xf numFmtId="0" fontId="7" fillId="14" borderId="41" applyNumberFormat="0" applyFont="0" applyAlignment="0" applyProtection="0"/>
    <xf numFmtId="0" fontId="7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20" borderId="0" applyNumberFormat="0" applyBorder="0" applyAlignment="0" applyProtection="0"/>
    <xf numFmtId="0" fontId="7" fillId="21" borderId="0" applyNumberFormat="0" applyBorder="0" applyAlignment="0" applyProtection="0"/>
    <xf numFmtId="0" fontId="7" fillId="24" borderId="0" applyNumberFormat="0" applyBorder="0" applyAlignment="0" applyProtection="0"/>
    <xf numFmtId="0" fontId="7" fillId="25" borderId="0" applyNumberFormat="0" applyBorder="0" applyAlignment="0" applyProtection="0"/>
    <xf numFmtId="0" fontId="7" fillId="28" borderId="0" applyNumberFormat="0" applyBorder="0" applyAlignment="0" applyProtection="0"/>
    <xf numFmtId="0" fontId="7" fillId="29" borderId="0" applyNumberFormat="0" applyBorder="0" applyAlignment="0" applyProtection="0"/>
    <xf numFmtId="0" fontId="7" fillId="32" borderId="0" applyNumberFormat="0" applyBorder="0" applyAlignment="0" applyProtection="0"/>
    <xf numFmtId="0" fontId="7" fillId="33" borderId="0" applyNumberFormat="0" applyBorder="0" applyAlignment="0" applyProtection="0"/>
    <xf numFmtId="0" fontId="7" fillId="36" borderId="0" applyNumberFormat="0" applyBorder="0" applyAlignment="0" applyProtection="0"/>
    <xf numFmtId="0" fontId="7" fillId="37" borderId="0" applyNumberFormat="0" applyBorder="0" applyAlignment="0" applyProtection="0"/>
    <xf numFmtId="0" fontId="79" fillId="0" borderId="0"/>
    <xf numFmtId="0" fontId="71" fillId="0" borderId="0"/>
    <xf numFmtId="0" fontId="80" fillId="0" borderId="0"/>
    <xf numFmtId="0" fontId="7" fillId="21" borderId="0" applyNumberFormat="0" applyBorder="0" applyAlignment="0" applyProtection="0"/>
    <xf numFmtId="0" fontId="7" fillId="28" borderId="0" applyNumberFormat="0" applyBorder="0" applyAlignment="0" applyProtection="0"/>
    <xf numFmtId="0" fontId="56" fillId="0" borderId="0"/>
    <xf numFmtId="0" fontId="82" fillId="0" borderId="0">
      <alignment vertical="center"/>
    </xf>
    <xf numFmtId="0" fontId="7" fillId="20" borderId="0" applyNumberFormat="0" applyBorder="0" applyAlignment="0" applyProtection="0"/>
    <xf numFmtId="0" fontId="7" fillId="37" borderId="0" applyNumberFormat="0" applyBorder="0" applyAlignment="0" applyProtection="0"/>
    <xf numFmtId="0" fontId="39" fillId="30" borderId="0" applyNumberFormat="0" applyBorder="0" applyAlignment="0" applyProtection="0"/>
    <xf numFmtId="0" fontId="7" fillId="32" borderId="0" applyNumberFormat="0" applyBorder="0" applyAlignment="0" applyProtection="0"/>
    <xf numFmtId="0" fontId="39" fillId="19" borderId="0" applyNumberFormat="0" applyBorder="0" applyAlignment="0" applyProtection="0"/>
    <xf numFmtId="0" fontId="39" fillId="31" borderId="0" applyNumberFormat="0" applyBorder="0" applyAlignment="0" applyProtection="0"/>
    <xf numFmtId="0" fontId="38" fillId="6" borderId="2" applyNumberFormat="0" applyAlignment="0" applyProtection="0"/>
    <xf numFmtId="167" fontId="84" fillId="0" borderId="0" applyFont="0" applyFill="0" applyBorder="0" applyAlignment="0" applyProtection="0"/>
    <xf numFmtId="0" fontId="7" fillId="29" borderId="0" applyNumberFormat="0" applyBorder="0" applyAlignment="0" applyProtection="0"/>
    <xf numFmtId="0" fontId="82" fillId="0" borderId="0">
      <alignment vertical="center"/>
    </xf>
    <xf numFmtId="0" fontId="7" fillId="17" borderId="0" applyNumberFormat="0" applyBorder="0" applyAlignment="0" applyProtection="0"/>
    <xf numFmtId="0" fontId="39" fillId="27" borderId="0" applyNumberFormat="0" applyBorder="0" applyAlignment="0" applyProtection="0"/>
    <xf numFmtId="0" fontId="50" fillId="13" borderId="40" applyNumberFormat="0" applyAlignment="0" applyProtection="0"/>
    <xf numFmtId="167" fontId="63" fillId="0" borderId="0" applyFont="0" applyFill="0" applyBorder="0" applyAlignment="0" applyProtection="0"/>
    <xf numFmtId="0" fontId="39" fillId="34" borderId="0" applyNumberFormat="0" applyBorder="0" applyAlignment="0" applyProtection="0"/>
    <xf numFmtId="49" fontId="83" fillId="0" borderId="0">
      <alignment horizontal="left" vertical="center" wrapText="1"/>
    </xf>
    <xf numFmtId="0" fontId="39" fillId="7" borderId="0" applyNumberFormat="0" applyBorder="0" applyAlignment="0" applyProtection="0"/>
    <xf numFmtId="0" fontId="63" fillId="0" borderId="0"/>
    <xf numFmtId="0" fontId="39" fillId="23" borderId="0" applyNumberFormat="0" applyBorder="0" applyAlignment="0" applyProtection="0"/>
    <xf numFmtId="0" fontId="7" fillId="16" borderId="0" applyNumberFormat="0" applyBorder="0" applyAlignment="0" applyProtection="0"/>
    <xf numFmtId="0" fontId="63" fillId="0" borderId="0">
      <alignment vertical="center"/>
    </xf>
    <xf numFmtId="0" fontId="7" fillId="24" borderId="0" applyNumberFormat="0" applyBorder="0" applyAlignment="0" applyProtection="0"/>
    <xf numFmtId="0" fontId="39" fillId="15" borderId="0" applyNumberFormat="0" applyBorder="0" applyAlignment="0" applyProtection="0"/>
    <xf numFmtId="168" fontId="7" fillId="0" borderId="0" applyFont="0" applyFill="0" applyBorder="0" applyAlignment="0" applyProtection="0"/>
    <xf numFmtId="0" fontId="39" fillId="35" borderId="0" applyNumberFormat="0" applyBorder="0" applyAlignment="0" applyProtection="0"/>
    <xf numFmtId="0" fontId="39" fillId="22" borderId="0" applyNumberFormat="0" applyBorder="0" applyAlignment="0" applyProtection="0"/>
    <xf numFmtId="168" fontId="84" fillId="0" borderId="0" applyFont="0" applyFill="0" applyBorder="0" applyAlignment="0" applyProtection="0"/>
    <xf numFmtId="0" fontId="7" fillId="33" borderId="0" applyNumberFormat="0" applyBorder="0" applyAlignment="0" applyProtection="0"/>
    <xf numFmtId="0" fontId="7" fillId="25" borderId="0" applyNumberFormat="0" applyBorder="0" applyAlignment="0" applyProtection="0"/>
    <xf numFmtId="166" fontId="84" fillId="0" borderId="0" applyFont="0" applyFill="0" applyBorder="0" applyAlignment="0" applyProtection="0"/>
    <xf numFmtId="0" fontId="39" fillId="26" borderId="0" applyNumberFormat="0" applyBorder="0" applyAlignment="0" applyProtection="0"/>
    <xf numFmtId="0" fontId="7" fillId="36" borderId="0" applyNumberFormat="0" applyBorder="0" applyAlignment="0" applyProtection="0"/>
    <xf numFmtId="0" fontId="39" fillId="18" borderId="0" applyNumberFormat="0" applyBorder="0" applyAlignment="0" applyProtection="0"/>
    <xf numFmtId="175" fontId="63" fillId="0" borderId="0" applyFont="0" applyFill="0" applyBorder="0" applyAlignment="0" applyProtection="0"/>
    <xf numFmtId="0" fontId="49" fillId="0" borderId="39" applyNumberFormat="0" applyFill="0" applyAlignment="0" applyProtection="0"/>
    <xf numFmtId="0" fontId="34" fillId="2" borderId="0" applyNumberFormat="0" applyBorder="0" applyAlignment="0" applyProtection="0"/>
    <xf numFmtId="0" fontId="81" fillId="0" borderId="0" applyNumberFormat="0" applyFill="0" applyBorder="0" applyAlignment="0" applyProtection="0">
      <alignment vertical="top"/>
      <protection locked="0"/>
    </xf>
    <xf numFmtId="0" fontId="37" fillId="5" borderId="2" applyNumberFormat="0" applyAlignment="0" applyProtection="0"/>
    <xf numFmtId="168" fontId="84" fillId="0" borderId="0" applyFont="0" applyFill="0" applyBorder="0" applyAlignment="0" applyProtection="0"/>
    <xf numFmtId="0" fontId="85" fillId="0" borderId="0"/>
    <xf numFmtId="0" fontId="85" fillId="0" borderId="0"/>
    <xf numFmtId="0" fontId="85" fillId="0" borderId="0"/>
    <xf numFmtId="0" fontId="46" fillId="0" borderId="36" applyNumberFormat="0" applyFill="0" applyAlignment="0" applyProtection="0"/>
    <xf numFmtId="0" fontId="33" fillId="0" borderId="1" applyNumberFormat="0" applyFill="0" applyAlignment="0" applyProtection="0"/>
    <xf numFmtId="0" fontId="47" fillId="0" borderId="37" applyNumberFormat="0" applyFill="0" applyAlignment="0" applyProtection="0"/>
    <xf numFmtId="0" fontId="47" fillId="0" borderId="0" applyNumberFormat="0" applyFill="0" applyBorder="0" applyAlignment="0" applyProtection="0"/>
    <xf numFmtId="0" fontId="86" fillId="47" borderId="0"/>
    <xf numFmtId="0" fontId="36" fillId="4" borderId="0" applyNumberFormat="0" applyBorder="0" applyAlignment="0" applyProtection="0"/>
    <xf numFmtId="0" fontId="63" fillId="0" borderId="0"/>
    <xf numFmtId="0" fontId="84" fillId="0" borderId="0"/>
    <xf numFmtId="0" fontId="63" fillId="0" borderId="0"/>
    <xf numFmtId="0" fontId="7" fillId="14" borderId="41" applyNumberFormat="0" applyFont="0" applyAlignment="0" applyProtection="0"/>
    <xf numFmtId="0" fontId="35" fillId="3" borderId="0" applyNumberFormat="0" applyBorder="0" applyAlignment="0" applyProtection="0"/>
    <xf numFmtId="9" fontId="63" fillId="0" borderId="0" applyFont="0" applyFill="0" applyBorder="0" applyAlignment="0" applyProtection="0"/>
    <xf numFmtId="9" fontId="63" fillId="0" borderId="0" applyFont="0" applyFill="0" applyBorder="0" applyAlignment="0" applyProtection="0"/>
    <xf numFmtId="9" fontId="84" fillId="0" borderId="0" applyFont="0" applyFill="0" applyBorder="0" applyAlignment="0" applyProtection="0"/>
    <xf numFmtId="9" fontId="84" fillId="0" borderId="0" applyFont="0" applyFill="0" applyBorder="0" applyAlignment="0" applyProtection="0"/>
    <xf numFmtId="0" fontId="72" fillId="0" borderId="0"/>
    <xf numFmtId="0" fontId="84" fillId="0" borderId="0"/>
    <xf numFmtId="0" fontId="63" fillId="0" borderId="0"/>
    <xf numFmtId="0" fontId="63" fillId="0" borderId="0"/>
    <xf numFmtId="0" fontId="63" fillId="0" borderId="0"/>
    <xf numFmtId="0" fontId="45" fillId="0" borderId="0" applyNumberFormat="0" applyFill="0" applyBorder="0" applyAlignment="0" applyProtection="0"/>
    <xf numFmtId="0" fontId="53" fillId="0" borderId="42" applyNumberFormat="0" applyFill="0" applyAlignment="0" applyProtection="0"/>
    <xf numFmtId="0" fontId="48" fillId="6" borderId="38" applyNumberFormat="0" applyAlignment="0" applyProtection="0"/>
    <xf numFmtId="176" fontId="63" fillId="0" borderId="0" applyFont="0" applyFill="0" applyBorder="0" applyAlignment="0" applyProtection="0"/>
    <xf numFmtId="174" fontId="7" fillId="0" borderId="0" applyFont="0" applyFill="0" applyBorder="0" applyAlignment="0" applyProtection="0"/>
    <xf numFmtId="0" fontId="52" fillId="0" borderId="0" applyNumberFormat="0" applyFill="0" applyBorder="0" applyAlignment="0" applyProtection="0"/>
    <xf numFmtId="0" fontId="51" fillId="0" borderId="0" applyNumberFormat="0" applyFill="0" applyBorder="0" applyAlignment="0" applyProtection="0"/>
  </cellStyleXfs>
  <cellXfs count="417">
    <xf numFmtId="0" fontId="0" fillId="0" borderId="0" xfId="0"/>
    <xf numFmtId="14" fontId="0" fillId="0" borderId="0" xfId="0" applyNumberFormat="1"/>
    <xf numFmtId="0" fontId="32" fillId="0" borderId="0" xfId="0" applyFont="1"/>
    <xf numFmtId="0" fontId="35" fillId="3" borderId="0" xfId="4"/>
    <xf numFmtId="0" fontId="34" fillId="2" borderId="0" xfId="3"/>
    <xf numFmtId="0" fontId="33" fillId="0" borderId="1" xfId="2"/>
    <xf numFmtId="0" fontId="36" fillId="4" borderId="0" xfId="5"/>
    <xf numFmtId="0" fontId="39" fillId="7" borderId="0" xfId="8"/>
    <xf numFmtId="0" fontId="37" fillId="5" borderId="2" xfId="6"/>
    <xf numFmtId="0" fontId="38" fillId="6" borderId="2" xfId="7"/>
    <xf numFmtId="0" fontId="0" fillId="8" borderId="0" xfId="0" applyFill="1"/>
    <xf numFmtId="0" fontId="30" fillId="8" borderId="0" xfId="0" applyFont="1" applyFill="1" applyAlignment="1">
      <alignment vertical="center"/>
    </xf>
    <xf numFmtId="49" fontId="0" fillId="0" borderId="0" xfId="0" applyNumberFormat="1"/>
    <xf numFmtId="49" fontId="33" fillId="0" borderId="1" xfId="2" applyNumberFormat="1"/>
    <xf numFmtId="49" fontId="37" fillId="5" borderId="2" xfId="6" applyNumberFormat="1"/>
    <xf numFmtId="0" fontId="40" fillId="8" borderId="0" xfId="0" applyFont="1" applyFill="1"/>
    <xf numFmtId="0" fontId="0" fillId="0" borderId="0" xfId="0" applyFill="1"/>
    <xf numFmtId="1" fontId="41" fillId="0" borderId="0" xfId="0" applyNumberFormat="1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0" fillId="10" borderId="3" xfId="0" applyFill="1" applyBorder="1"/>
    <xf numFmtId="0" fontId="0" fillId="10" borderId="4" xfId="0" applyFill="1" applyBorder="1"/>
    <xf numFmtId="0" fontId="0" fillId="10" borderId="5" xfId="0" applyFill="1" applyBorder="1"/>
    <xf numFmtId="0" fontId="0" fillId="10" borderId="6" xfId="0" applyFill="1" applyBorder="1"/>
    <xf numFmtId="0" fontId="0" fillId="10" borderId="0" xfId="0" applyFill="1" applyBorder="1"/>
    <xf numFmtId="0" fontId="0" fillId="10" borderId="7" xfId="0" applyFill="1" applyBorder="1"/>
    <xf numFmtId="0" fontId="0" fillId="10" borderId="8" xfId="0" applyFill="1" applyBorder="1"/>
    <xf numFmtId="0" fontId="0" fillId="10" borderId="9" xfId="0" applyFill="1" applyBorder="1"/>
    <xf numFmtId="0" fontId="0" fillId="10" borderId="10" xfId="0" applyFill="1" applyBorder="1"/>
    <xf numFmtId="14" fontId="0" fillId="10" borderId="0" xfId="0" applyNumberFormat="1" applyFill="1" applyBorder="1"/>
    <xf numFmtId="1" fontId="0" fillId="0" borderId="12" xfId="0" applyNumberFormat="1" applyBorder="1" applyAlignment="1">
      <alignment horizontal="center"/>
    </xf>
    <xf numFmtId="49" fontId="37" fillId="5" borderId="11" xfId="6" applyNumberFormat="1" applyBorder="1"/>
    <xf numFmtId="0" fontId="38" fillId="6" borderId="13" xfId="7" applyBorder="1"/>
    <xf numFmtId="0" fontId="38" fillId="6" borderId="14" xfId="7" applyBorder="1"/>
    <xf numFmtId="0" fontId="42" fillId="4" borderId="16" xfId="5" applyFont="1" applyBorder="1"/>
    <xf numFmtId="0" fontId="38" fillId="6" borderId="16" xfId="7" applyBorder="1"/>
    <xf numFmtId="14" fontId="38" fillId="6" borderId="16" xfId="7" applyNumberFormat="1" applyBorder="1"/>
    <xf numFmtId="0" fontId="0" fillId="0" borderId="17" xfId="0" applyBorder="1"/>
    <xf numFmtId="0" fontId="0" fillId="10" borderId="18" xfId="0" applyFill="1" applyBorder="1"/>
    <xf numFmtId="0" fontId="0" fillId="10" borderId="17" xfId="0" applyFill="1" applyBorder="1"/>
    <xf numFmtId="0" fontId="0" fillId="10" borderId="19" xfId="0" applyFill="1" applyBorder="1"/>
    <xf numFmtId="0" fontId="33" fillId="0" borderId="20" xfId="2" applyBorder="1"/>
    <xf numFmtId="14" fontId="42" fillId="4" borderId="16" xfId="5" applyNumberFormat="1" applyFont="1" applyBorder="1"/>
    <xf numFmtId="0" fontId="37" fillId="5" borderId="23" xfId="6" applyBorder="1"/>
    <xf numFmtId="0" fontId="37" fillId="5" borderId="24" xfId="6" applyBorder="1"/>
    <xf numFmtId="0" fontId="0" fillId="10" borderId="0" xfId="0" applyFill="1" applyBorder="1" applyAlignment="1">
      <alignment horizontal="left"/>
    </xf>
    <xf numFmtId="14" fontId="0" fillId="10" borderId="0" xfId="0" applyNumberFormat="1" applyFill="1" applyBorder="1" applyAlignment="1">
      <alignment horizontal="left"/>
    </xf>
    <xf numFmtId="0" fontId="0" fillId="10" borderId="9" xfId="0" applyFill="1" applyBorder="1" applyAlignment="1">
      <alignment horizontal="left"/>
    </xf>
    <xf numFmtId="0" fontId="36" fillId="4" borderId="15" xfId="5" applyBorder="1" applyAlignment="1">
      <alignment horizontal="right"/>
    </xf>
    <xf numFmtId="0" fontId="36" fillId="4" borderId="16" xfId="5" applyBorder="1" applyAlignment="1">
      <alignment horizontal="right"/>
    </xf>
    <xf numFmtId="0" fontId="42" fillId="4" borderId="16" xfId="5" applyFont="1" applyBorder="1" applyAlignment="1">
      <alignment horizontal="right"/>
    </xf>
    <xf numFmtId="14" fontId="42" fillId="4" borderId="16" xfId="5" applyNumberFormat="1" applyFont="1" applyBorder="1" applyAlignment="1">
      <alignment horizontal="right"/>
    </xf>
    <xf numFmtId="0" fontId="0" fillId="10" borderId="0" xfId="0" applyNumberFormat="1" applyFill="1" applyBorder="1" applyAlignment="1">
      <alignment horizontal="left"/>
    </xf>
    <xf numFmtId="49" fontId="0" fillId="10" borderId="3" xfId="0" applyNumberFormat="1" applyFill="1" applyBorder="1"/>
    <xf numFmtId="49" fontId="0" fillId="10" borderId="6" xfId="0" applyNumberFormat="1" applyFill="1" applyBorder="1"/>
    <xf numFmtId="49" fontId="0" fillId="10" borderId="0" xfId="0" applyNumberFormat="1" applyFill="1" applyBorder="1"/>
    <xf numFmtId="49" fontId="0" fillId="10" borderId="9" xfId="0" applyNumberFormat="1" applyFill="1" applyBorder="1"/>
    <xf numFmtId="49" fontId="0" fillId="0" borderId="12" xfId="0" applyNumberFormat="1" applyBorder="1" applyAlignment="1">
      <alignment horizontal="center"/>
    </xf>
    <xf numFmtId="49" fontId="36" fillId="4" borderId="15" xfId="5" applyNumberFormat="1" applyBorder="1" applyAlignment="1">
      <alignment horizontal="right"/>
    </xf>
    <xf numFmtId="49" fontId="36" fillId="4" borderId="16" xfId="5" applyNumberFormat="1" applyBorder="1" applyAlignment="1">
      <alignment horizontal="right"/>
    </xf>
    <xf numFmtId="49" fontId="42" fillId="4" borderId="16" xfId="5" applyNumberFormat="1" applyFont="1" applyBorder="1" applyAlignment="1">
      <alignment horizontal="right"/>
    </xf>
    <xf numFmtId="14" fontId="37" fillId="5" borderId="2" xfId="6" applyNumberFormat="1"/>
    <xf numFmtId="0" fontId="43" fillId="0" borderId="28" xfId="9" applyFont="1" applyBorder="1" applyAlignment="1">
      <alignment horizontal="center"/>
    </xf>
    <xf numFmtId="0" fontId="26" fillId="0" borderId="0" xfId="9" applyBorder="1"/>
    <xf numFmtId="164" fontId="26" fillId="0" borderId="0" xfId="9" applyNumberFormat="1" applyFill="1" applyBorder="1" applyAlignment="1">
      <alignment horizontal="right"/>
    </xf>
    <xf numFmtId="0" fontId="26" fillId="0" borderId="0" xfId="9" applyFont="1" applyBorder="1"/>
    <xf numFmtId="1" fontId="26" fillId="0" borderId="0" xfId="9" applyNumberFormat="1" applyBorder="1"/>
    <xf numFmtId="0" fontId="0" fillId="8" borderId="25" xfId="0" applyFill="1" applyBorder="1"/>
    <xf numFmtId="0" fontId="0" fillId="0" borderId="0" xfId="0"/>
    <xf numFmtId="0" fontId="54" fillId="12" borderId="26" xfId="47" applyFont="1" applyFill="1" applyBorder="1" applyAlignment="1"/>
    <xf numFmtId="0" fontId="25" fillId="12" borderId="26" xfId="47" applyFill="1" applyBorder="1" applyAlignment="1"/>
    <xf numFmtId="0" fontId="25" fillId="12" borderId="27" xfId="47" applyFill="1" applyBorder="1"/>
    <xf numFmtId="0" fontId="54" fillId="12" borderId="25" xfId="47" applyFont="1" applyFill="1" applyBorder="1"/>
    <xf numFmtId="0" fontId="25" fillId="12" borderId="26" xfId="47" applyFill="1" applyBorder="1"/>
    <xf numFmtId="0" fontId="25" fillId="38" borderId="33" xfId="47" applyFill="1" applyBorder="1"/>
    <xf numFmtId="0" fontId="25" fillId="38" borderId="34" xfId="47" applyFill="1" applyBorder="1" applyAlignment="1">
      <alignment horizontal="left"/>
    </xf>
    <xf numFmtId="0" fontId="25" fillId="38" borderId="34" xfId="47" applyFill="1" applyBorder="1"/>
    <xf numFmtId="0" fontId="25" fillId="38" borderId="35" xfId="47" applyFill="1" applyBorder="1"/>
    <xf numFmtId="0" fontId="25" fillId="38" borderId="28" xfId="47" applyFill="1" applyBorder="1"/>
    <xf numFmtId="0" fontId="25" fillId="38" borderId="0" xfId="47" applyFill="1" applyBorder="1" applyAlignment="1">
      <alignment horizontal="left"/>
    </xf>
    <xf numFmtId="0" fontId="25" fillId="38" borderId="0" xfId="47" applyFill="1" applyBorder="1"/>
    <xf numFmtId="0" fontId="25" fillId="38" borderId="29" xfId="47" applyFill="1" applyBorder="1"/>
    <xf numFmtId="14" fontId="25" fillId="38" borderId="0" xfId="47" applyNumberFormat="1" applyFill="1" applyBorder="1" applyAlignment="1">
      <alignment horizontal="left"/>
    </xf>
    <xf numFmtId="0" fontId="55" fillId="38" borderId="43" xfId="47" applyFont="1" applyFill="1" applyBorder="1"/>
    <xf numFmtId="0" fontId="25" fillId="38" borderId="4" xfId="47" applyFill="1" applyBorder="1"/>
    <xf numFmtId="0" fontId="25" fillId="38" borderId="44" xfId="47" applyFill="1" applyBorder="1"/>
    <xf numFmtId="0" fontId="25" fillId="38" borderId="9" xfId="47" applyFill="1" applyBorder="1"/>
    <xf numFmtId="0" fontId="25" fillId="38" borderId="30" xfId="47" applyFill="1" applyBorder="1"/>
    <xf numFmtId="0" fontId="25" fillId="38" borderId="31" xfId="47" applyFill="1" applyBorder="1"/>
    <xf numFmtId="0" fontId="25" fillId="38" borderId="32" xfId="47" applyFill="1" applyBorder="1"/>
    <xf numFmtId="0" fontId="25" fillId="0" borderId="0" xfId="47" applyFill="1" applyBorder="1"/>
    <xf numFmtId="0" fontId="25" fillId="39" borderId="26" xfId="47" applyFill="1" applyBorder="1"/>
    <xf numFmtId="0" fontId="25" fillId="39" borderId="27" xfId="47" applyFill="1" applyBorder="1"/>
    <xf numFmtId="0" fontId="54" fillId="11" borderId="25" xfId="47" applyFont="1" applyFill="1" applyBorder="1" applyAlignment="1"/>
    <xf numFmtId="0" fontId="43" fillId="11" borderId="26" xfId="47" applyFont="1" applyFill="1" applyBorder="1" applyAlignment="1"/>
    <xf numFmtId="0" fontId="25" fillId="11" borderId="26" xfId="47" applyFill="1" applyBorder="1"/>
    <xf numFmtId="0" fontId="53" fillId="11" borderId="27" xfId="47" applyFont="1" applyFill="1" applyBorder="1"/>
    <xf numFmtId="0" fontId="0" fillId="38" borderId="34" xfId="47" applyFont="1" applyFill="1" applyBorder="1"/>
    <xf numFmtId="0" fontId="40" fillId="38" borderId="34" xfId="47" applyFont="1" applyFill="1" applyBorder="1"/>
    <xf numFmtId="0" fontId="53" fillId="38" borderId="34" xfId="47" applyFont="1" applyFill="1" applyBorder="1"/>
    <xf numFmtId="0" fontId="25" fillId="38" borderId="28" xfId="47" applyFont="1" applyFill="1" applyBorder="1"/>
    <xf numFmtId="9" fontId="25" fillId="38" borderId="0" xfId="12" applyFont="1" applyFill="1" applyBorder="1"/>
    <xf numFmtId="0" fontId="25" fillId="38" borderId="0" xfId="47" applyFont="1" applyFill="1" applyBorder="1"/>
    <xf numFmtId="0" fontId="53" fillId="38" borderId="0" xfId="47" applyFont="1" applyFill="1" applyBorder="1"/>
    <xf numFmtId="14" fontId="25" fillId="38" borderId="0" xfId="47" applyNumberFormat="1" applyFill="1" applyBorder="1"/>
    <xf numFmtId="0" fontId="25" fillId="38" borderId="30" xfId="47" applyFont="1" applyFill="1" applyBorder="1"/>
    <xf numFmtId="0" fontId="25" fillId="38" borderId="31" xfId="47" applyFont="1" applyFill="1" applyBorder="1"/>
    <xf numFmtId="14" fontId="25" fillId="38" borderId="31" xfId="47" applyNumberFormat="1" applyFill="1" applyBorder="1"/>
    <xf numFmtId="0" fontId="54" fillId="40" borderId="25" xfId="47" applyFont="1" applyFill="1" applyBorder="1" applyAlignment="1"/>
    <xf numFmtId="0" fontId="25" fillId="40" borderId="26" xfId="47" applyFill="1" applyBorder="1"/>
    <xf numFmtId="0" fontId="25" fillId="40" borderId="25" xfId="47" applyFont="1" applyFill="1" applyBorder="1"/>
    <xf numFmtId="0" fontId="25" fillId="40" borderId="26" xfId="47" applyFont="1" applyFill="1" applyBorder="1"/>
    <xf numFmtId="0" fontId="25" fillId="40" borderId="27" xfId="47" applyFill="1" applyBorder="1"/>
    <xf numFmtId="0" fontId="53" fillId="0" borderId="33" xfId="47" applyFont="1" applyFill="1" applyBorder="1"/>
    <xf numFmtId="0" fontId="25" fillId="0" borderId="35" xfId="47" applyFill="1" applyBorder="1"/>
    <xf numFmtId="0" fontId="25" fillId="0" borderId="25" xfId="47" applyFont="1" applyFill="1" applyBorder="1"/>
    <xf numFmtId="0" fontId="25" fillId="0" borderId="26" xfId="47" applyFont="1" applyFill="1" applyBorder="1"/>
    <xf numFmtId="0" fontId="25" fillId="0" borderId="27" xfId="47" applyFont="1" applyFill="1" applyBorder="1"/>
    <xf numFmtId="0" fontId="25" fillId="0" borderId="28" xfId="47" applyFill="1" applyBorder="1"/>
    <xf numFmtId="0" fontId="25" fillId="0" borderId="29" xfId="47" applyFill="1" applyBorder="1"/>
    <xf numFmtId="0" fontId="25" fillId="0" borderId="33" xfId="47" applyFill="1" applyBorder="1"/>
    <xf numFmtId="0" fontId="25" fillId="0" borderId="34" xfId="47" applyFill="1" applyBorder="1"/>
    <xf numFmtId="0" fontId="0" fillId="0" borderId="33" xfId="0" applyBorder="1"/>
    <xf numFmtId="0" fontId="0" fillId="0" borderId="35" xfId="0" applyBorder="1"/>
    <xf numFmtId="0" fontId="0" fillId="0" borderId="28" xfId="0" applyBorder="1"/>
    <xf numFmtId="0" fontId="0" fillId="0" borderId="0" xfId="0" applyBorder="1"/>
    <xf numFmtId="0" fontId="0" fillId="0" borderId="29" xfId="0" applyBorder="1"/>
    <xf numFmtId="0" fontId="25" fillId="0" borderId="28" xfId="47" applyFont="1" applyFill="1" applyBorder="1"/>
    <xf numFmtId="0" fontId="53" fillId="0" borderId="28" xfId="47" applyFont="1" applyFill="1" applyBorder="1"/>
    <xf numFmtId="0" fontId="25" fillId="0" borderId="29" xfId="47" applyFont="1" applyFill="1" applyBorder="1"/>
    <xf numFmtId="0" fontId="0" fillId="0" borderId="28" xfId="0" applyFill="1" applyBorder="1"/>
    <xf numFmtId="0" fontId="0" fillId="0" borderId="29" xfId="0" applyFill="1" applyBorder="1"/>
    <xf numFmtId="0" fontId="25" fillId="0" borderId="30" xfId="47" applyFill="1" applyBorder="1"/>
    <xf numFmtId="0" fontId="25" fillId="0" borderId="32" xfId="47" applyFill="1" applyBorder="1"/>
    <xf numFmtId="0" fontId="25" fillId="0" borderId="31" xfId="47" applyFill="1" applyBorder="1"/>
    <xf numFmtId="0" fontId="25" fillId="38" borderId="46" xfId="47" applyFill="1" applyBorder="1"/>
    <xf numFmtId="9" fontId="25" fillId="38" borderId="46" xfId="12" applyFont="1" applyFill="1" applyBorder="1"/>
    <xf numFmtId="166" fontId="53" fillId="38" borderId="46" xfId="11" applyFont="1" applyFill="1" applyBorder="1"/>
    <xf numFmtId="166" fontId="40" fillId="38" borderId="48" xfId="11" applyFont="1" applyFill="1" applyBorder="1"/>
    <xf numFmtId="0" fontId="77" fillId="38" borderId="28" xfId="47" applyFont="1" applyFill="1" applyBorder="1"/>
    <xf numFmtId="0" fontId="25" fillId="38" borderId="0" xfId="47" applyNumberFormat="1" applyFill="1" applyBorder="1"/>
    <xf numFmtId="14" fontId="25" fillId="38" borderId="34" xfId="47" applyNumberFormat="1" applyFill="1" applyBorder="1"/>
    <xf numFmtId="0" fontId="25" fillId="38" borderId="34" xfId="47" applyFont="1" applyFill="1" applyBorder="1" applyAlignment="1">
      <alignment horizontal="left"/>
    </xf>
    <xf numFmtId="14" fontId="25" fillId="38" borderId="34" xfId="47" applyNumberFormat="1" applyFill="1" applyBorder="1" applyAlignment="1">
      <alignment horizontal="left"/>
    </xf>
    <xf numFmtId="2" fontId="25" fillId="38" borderId="0" xfId="47" applyNumberFormat="1" applyFill="1" applyBorder="1"/>
    <xf numFmtId="0" fontId="25" fillId="38" borderId="31" xfId="47" applyFill="1" applyBorder="1" applyAlignment="1">
      <alignment horizontal="left"/>
    </xf>
    <xf numFmtId="0" fontId="25" fillId="38" borderId="48" xfId="47" applyFill="1" applyBorder="1"/>
    <xf numFmtId="0" fontId="25" fillId="12" borderId="49" xfId="47" applyFont="1" applyFill="1" applyBorder="1"/>
    <xf numFmtId="0" fontId="25" fillId="38" borderId="47" xfId="47" applyFill="1" applyBorder="1"/>
    <xf numFmtId="1" fontId="25" fillId="38" borderId="0" xfId="47" applyNumberFormat="1" applyFill="1" applyBorder="1"/>
    <xf numFmtId="0" fontId="25" fillId="38" borderId="53" xfId="47" applyFont="1" applyFill="1" applyBorder="1"/>
    <xf numFmtId="0" fontId="25" fillId="38" borderId="6" xfId="47" applyFont="1" applyFill="1" applyBorder="1"/>
    <xf numFmtId="0" fontId="77" fillId="38" borderId="6" xfId="47" applyFont="1" applyFill="1" applyBorder="1"/>
    <xf numFmtId="0" fontId="25" fillId="38" borderId="7" xfId="47" applyFill="1" applyBorder="1"/>
    <xf numFmtId="0" fontId="77" fillId="38" borderId="0" xfId="47" applyFont="1" applyFill="1" applyBorder="1"/>
    <xf numFmtId="0" fontId="53" fillId="0" borderId="30" xfId="47" applyFont="1" applyFill="1" applyBorder="1"/>
    <xf numFmtId="0" fontId="25" fillId="38" borderId="6" xfId="47" applyFill="1" applyBorder="1"/>
    <xf numFmtId="0" fontId="0" fillId="0" borderId="30" xfId="0" applyFill="1" applyBorder="1"/>
    <xf numFmtId="2" fontId="25" fillId="0" borderId="0" xfId="47" applyNumberFormat="1" applyFill="1" applyBorder="1"/>
    <xf numFmtId="1" fontId="53" fillId="0" borderId="28" xfId="47" applyNumberFormat="1" applyFont="1" applyFill="1" applyBorder="1"/>
    <xf numFmtId="1" fontId="25" fillId="0" borderId="28" xfId="47" applyNumberFormat="1" applyFill="1" applyBorder="1"/>
    <xf numFmtId="0" fontId="54" fillId="8" borderId="35" xfId="47" applyFont="1" applyFill="1" applyBorder="1" applyAlignment="1"/>
    <xf numFmtId="0" fontId="0" fillId="8" borderId="27" xfId="0" applyFill="1" applyBorder="1"/>
    <xf numFmtId="0" fontId="0" fillId="8" borderId="30" xfId="0" applyFill="1" applyBorder="1"/>
    <xf numFmtId="0" fontId="54" fillId="8" borderId="34" xfId="47" applyFont="1" applyFill="1" applyBorder="1" applyAlignment="1"/>
    <xf numFmtId="0" fontId="0" fillId="8" borderId="32" xfId="0" applyFill="1" applyBorder="1"/>
    <xf numFmtId="0" fontId="0" fillId="8" borderId="0" xfId="0" applyFill="1" applyBorder="1"/>
    <xf numFmtId="0" fontId="26" fillId="0" borderId="46" xfId="10" applyFill="1" applyBorder="1"/>
    <xf numFmtId="0" fontId="0" fillId="8" borderId="29" xfId="0" applyFill="1" applyBorder="1"/>
    <xf numFmtId="0" fontId="0" fillId="8" borderId="26" xfId="0" applyFill="1" applyBorder="1"/>
    <xf numFmtId="0" fontId="25" fillId="8" borderId="34" xfId="47" applyFill="1" applyBorder="1"/>
    <xf numFmtId="0" fontId="0" fillId="8" borderId="31" xfId="0" applyFill="1" applyBorder="1"/>
    <xf numFmtId="0" fontId="0" fillId="8" borderId="0" xfId="0" applyFill="1" applyBorder="1" applyAlignment="1">
      <alignment horizontal="left"/>
    </xf>
    <xf numFmtId="0" fontId="0" fillId="8" borderId="28" xfId="0" applyFill="1" applyBorder="1"/>
    <xf numFmtId="0" fontId="54" fillId="8" borderId="33" xfId="47" applyFont="1" applyFill="1" applyBorder="1" applyAlignment="1"/>
    <xf numFmtId="0" fontId="0" fillId="0" borderId="0" xfId="0"/>
    <xf numFmtId="0" fontId="25" fillId="0" borderId="27" xfId="432" applyFill="1" applyBorder="1"/>
    <xf numFmtId="0" fontId="25" fillId="0" borderId="35" xfId="432" applyFill="1" applyBorder="1"/>
    <xf numFmtId="0" fontId="25" fillId="0" borderId="29" xfId="432" applyFill="1" applyBorder="1"/>
    <xf numFmtId="0" fontId="0" fillId="0" borderId="28" xfId="0" applyFill="1" applyBorder="1"/>
    <xf numFmtId="0" fontId="25" fillId="0" borderId="32" xfId="432" applyFill="1" applyBorder="1"/>
    <xf numFmtId="1" fontId="0" fillId="0" borderId="45" xfId="0" applyNumberFormat="1" applyBorder="1" applyAlignment="1">
      <alignment horizontal="center"/>
    </xf>
    <xf numFmtId="0" fontId="0" fillId="0" borderId="47" xfId="0" applyBorder="1"/>
    <xf numFmtId="14" fontId="0" fillId="0" borderId="46" xfId="0" applyNumberFormat="1" applyBorder="1"/>
    <xf numFmtId="0" fontId="0" fillId="0" borderId="46" xfId="0" applyBorder="1"/>
    <xf numFmtId="49" fontId="0" fillId="10" borderId="0" xfId="0" applyNumberFormat="1" applyFill="1" applyBorder="1" applyAlignment="1">
      <alignment horizontal="left"/>
    </xf>
    <xf numFmtId="2" fontId="42" fillId="4" borderId="16" xfId="5" applyNumberFormat="1" applyFont="1" applyBorder="1" applyAlignment="1">
      <alignment horizontal="right"/>
    </xf>
    <xf numFmtId="2" fontId="0" fillId="0" borderId="46" xfId="0" applyNumberFormat="1" applyBorder="1"/>
    <xf numFmtId="0" fontId="24" fillId="0" borderId="28" xfId="47" applyFont="1" applyFill="1" applyBorder="1"/>
    <xf numFmtId="0" fontId="25" fillId="0" borderId="26" xfId="432" applyFill="1" applyBorder="1"/>
    <xf numFmtId="0" fontId="25" fillId="0" borderId="30" xfId="47" applyFont="1" applyFill="1" applyBorder="1"/>
    <xf numFmtId="0" fontId="25" fillId="0" borderId="31" xfId="47" applyFont="1" applyFill="1" applyBorder="1"/>
    <xf numFmtId="0" fontId="25" fillId="0" borderId="32" xfId="47" applyFont="1" applyFill="1" applyBorder="1"/>
    <xf numFmtId="166" fontId="23" fillId="38" borderId="46" xfId="47" applyNumberFormat="1" applyFont="1" applyFill="1" applyBorder="1"/>
    <xf numFmtId="170" fontId="25" fillId="38" borderId="47" xfId="12" applyNumberFormat="1" applyFont="1" applyFill="1" applyBorder="1"/>
    <xf numFmtId="0" fontId="22" fillId="38" borderId="6" xfId="47" applyFont="1" applyFill="1" applyBorder="1"/>
    <xf numFmtId="166" fontId="53" fillId="38" borderId="51" xfId="11" applyFont="1" applyFill="1" applyBorder="1"/>
    <xf numFmtId="166" fontId="25" fillId="38" borderId="0" xfId="11" applyFont="1" applyFill="1" applyBorder="1"/>
    <xf numFmtId="166" fontId="25" fillId="38" borderId="7" xfId="11" applyFont="1" applyFill="1" applyBorder="1"/>
    <xf numFmtId="166" fontId="53" fillId="38" borderId="52" xfId="11" applyFont="1" applyFill="1" applyBorder="1"/>
    <xf numFmtId="14" fontId="25" fillId="11" borderId="26" xfId="47" applyNumberFormat="1" applyFill="1" applyBorder="1"/>
    <xf numFmtId="0" fontId="25" fillId="11" borderId="27" xfId="47" applyFill="1" applyBorder="1"/>
    <xf numFmtId="0" fontId="21" fillId="11" borderId="26" xfId="47" applyFont="1" applyFill="1" applyBorder="1"/>
    <xf numFmtId="0" fontId="25" fillId="38" borderId="51" xfId="47" applyFill="1" applyBorder="1"/>
    <xf numFmtId="0" fontId="25" fillId="38" borderId="54" xfId="47" applyFill="1" applyBorder="1"/>
    <xf numFmtId="14" fontId="20" fillId="38" borderId="28" xfId="47" applyNumberFormat="1" applyFont="1" applyFill="1" applyBorder="1"/>
    <xf numFmtId="2" fontId="25" fillId="38" borderId="0" xfId="47" applyNumberFormat="1" applyFont="1" applyFill="1" applyBorder="1"/>
    <xf numFmtId="0" fontId="25" fillId="38" borderId="0" xfId="47" applyNumberFormat="1" applyFont="1" applyFill="1" applyBorder="1"/>
    <xf numFmtId="171" fontId="25" fillId="38" borderId="0" xfId="47" applyNumberFormat="1" applyFill="1" applyBorder="1"/>
    <xf numFmtId="166" fontId="53" fillId="38" borderId="0" xfId="11" applyFont="1" applyFill="1" applyBorder="1"/>
    <xf numFmtId="0" fontId="53" fillId="38" borderId="0" xfId="11" applyNumberFormat="1" applyFont="1" applyFill="1" applyBorder="1"/>
    <xf numFmtId="166" fontId="53" fillId="38" borderId="28" xfId="11" applyFont="1" applyFill="1" applyBorder="1"/>
    <xf numFmtId="0" fontId="53" fillId="38" borderId="28" xfId="47" applyFont="1" applyFill="1" applyBorder="1"/>
    <xf numFmtId="166" fontId="53" fillId="38" borderId="7" xfId="11" applyFont="1" applyFill="1" applyBorder="1" applyAlignment="1">
      <alignment horizontal="left"/>
    </xf>
    <xf numFmtId="0" fontId="53" fillId="38" borderId="7" xfId="11" applyNumberFormat="1" applyFont="1" applyFill="1" applyBorder="1" applyAlignment="1">
      <alignment horizontal="left"/>
    </xf>
    <xf numFmtId="166" fontId="53" fillId="38" borderId="7" xfId="11" applyFont="1" applyFill="1" applyBorder="1"/>
    <xf numFmtId="0" fontId="53" fillId="38" borderId="7" xfId="11" applyNumberFormat="1" applyFont="1" applyFill="1" applyBorder="1"/>
    <xf numFmtId="0" fontId="53" fillId="38" borderId="6" xfId="47" applyFont="1" applyFill="1" applyBorder="1"/>
    <xf numFmtId="166" fontId="53" fillId="38" borderId="6" xfId="11" applyFont="1" applyFill="1" applyBorder="1"/>
    <xf numFmtId="2" fontId="25" fillId="38" borderId="55" xfId="47" applyNumberFormat="1" applyFill="1" applyBorder="1"/>
    <xf numFmtId="2" fontId="25" fillId="38" borderId="7" xfId="47" applyNumberFormat="1" applyFill="1" applyBorder="1"/>
    <xf numFmtId="166" fontId="25" fillId="38" borderId="56" xfId="11" applyFont="1" applyFill="1" applyBorder="1"/>
    <xf numFmtId="0" fontId="0" fillId="9" borderId="33" xfId="0" applyFill="1" applyBorder="1"/>
    <xf numFmtId="0" fontId="0" fillId="9" borderId="34" xfId="0" applyFill="1" applyBorder="1"/>
    <xf numFmtId="0" fontId="0" fillId="9" borderId="35" xfId="0" applyFill="1" applyBorder="1"/>
    <xf numFmtId="0" fontId="0" fillId="9" borderId="28" xfId="0" applyFill="1" applyBorder="1"/>
    <xf numFmtId="0" fontId="0" fillId="9" borderId="0" xfId="0" applyFill="1" applyBorder="1"/>
    <xf numFmtId="0" fontId="0" fillId="9" borderId="29" xfId="0" applyFill="1" applyBorder="1"/>
    <xf numFmtId="0" fontId="28" fillId="9" borderId="0" xfId="0" applyFont="1" applyFill="1" applyBorder="1" applyAlignment="1">
      <alignment vertical="center"/>
    </xf>
    <xf numFmtId="0" fontId="28" fillId="9" borderId="29" xfId="0" applyFont="1" applyFill="1" applyBorder="1" applyAlignment="1">
      <alignment vertical="center"/>
    </xf>
    <xf numFmtId="0" fontId="0" fillId="9" borderId="30" xfId="0" applyFill="1" applyBorder="1"/>
    <xf numFmtId="0" fontId="0" fillId="9" borderId="31" xfId="0" applyFill="1" applyBorder="1"/>
    <xf numFmtId="0" fontId="0" fillId="9" borderId="32" xfId="0" applyFill="1" applyBorder="1"/>
    <xf numFmtId="0" fontId="0" fillId="41" borderId="33" xfId="0" applyFill="1" applyBorder="1"/>
    <xf numFmtId="0" fontId="0" fillId="41" borderId="34" xfId="0" applyFill="1" applyBorder="1"/>
    <xf numFmtId="0" fontId="0" fillId="41" borderId="35" xfId="0" applyFill="1" applyBorder="1"/>
    <xf numFmtId="0" fontId="0" fillId="41" borderId="28" xfId="0" applyFill="1" applyBorder="1"/>
    <xf numFmtId="0" fontId="0" fillId="41" borderId="0" xfId="0" applyFill="1" applyBorder="1"/>
    <xf numFmtId="0" fontId="0" fillId="41" borderId="29" xfId="0" applyFill="1" applyBorder="1"/>
    <xf numFmtId="0" fontId="0" fillId="41" borderId="30" xfId="0" applyFill="1" applyBorder="1"/>
    <xf numFmtId="0" fontId="0" fillId="41" borderId="31" xfId="0" applyFill="1" applyBorder="1"/>
    <xf numFmtId="0" fontId="0" fillId="41" borderId="32" xfId="0" applyFill="1" applyBorder="1"/>
    <xf numFmtId="0" fontId="0" fillId="11" borderId="33" xfId="0" applyFill="1" applyBorder="1"/>
    <xf numFmtId="0" fontId="0" fillId="11" borderId="34" xfId="0" applyFill="1" applyBorder="1"/>
    <xf numFmtId="0" fontId="0" fillId="11" borderId="35" xfId="0" applyFill="1" applyBorder="1"/>
    <xf numFmtId="0" fontId="0" fillId="11" borderId="28" xfId="0" applyFill="1" applyBorder="1"/>
    <xf numFmtId="0" fontId="0" fillId="11" borderId="0" xfId="0" applyFill="1" applyBorder="1"/>
    <xf numFmtId="0" fontId="0" fillId="11" borderId="29" xfId="0" applyFill="1" applyBorder="1"/>
    <xf numFmtId="0" fontId="27" fillId="11" borderId="0" xfId="0" applyFont="1" applyFill="1" applyBorder="1" applyAlignment="1">
      <alignment vertical="center"/>
    </xf>
    <xf numFmtId="0" fontId="27" fillId="11" borderId="29" xfId="0" applyFont="1" applyFill="1" applyBorder="1" applyAlignment="1">
      <alignment vertical="center"/>
    </xf>
    <xf numFmtId="0" fontId="0" fillId="11" borderId="30" xfId="0" applyFill="1" applyBorder="1"/>
    <xf numFmtId="0" fontId="0" fillId="11" borderId="31" xfId="0" applyFill="1" applyBorder="1"/>
    <xf numFmtId="0" fontId="0" fillId="11" borderId="32" xfId="0" applyFill="1" applyBorder="1"/>
    <xf numFmtId="0" fontId="0" fillId="0" borderId="0" xfId="0" applyAlignment="1">
      <alignment horizontal="center"/>
    </xf>
    <xf numFmtId="0" fontId="0" fillId="0" borderId="0" xfId="0" applyAlignment="1"/>
    <xf numFmtId="0" fontId="0" fillId="0" borderId="46" xfId="0" applyNumberFormat="1" applyBorder="1"/>
    <xf numFmtId="0" fontId="0" fillId="38" borderId="0" xfId="47" applyFont="1" applyFill="1" applyBorder="1"/>
    <xf numFmtId="166" fontId="40" fillId="38" borderId="46" xfId="11" applyFont="1" applyFill="1" applyBorder="1"/>
    <xf numFmtId="0" fontId="40" fillId="38" borderId="0" xfId="47" applyFont="1" applyFill="1" applyBorder="1"/>
    <xf numFmtId="0" fontId="18" fillId="38" borderId="28" xfId="47" applyFont="1" applyFill="1" applyBorder="1"/>
    <xf numFmtId="14" fontId="25" fillId="38" borderId="9" xfId="47" applyNumberFormat="1" applyFill="1" applyBorder="1"/>
    <xf numFmtId="0" fontId="25" fillId="11" borderId="34" xfId="47" applyFill="1" applyBorder="1"/>
    <xf numFmtId="166" fontId="53" fillId="11" borderId="55" xfId="11" applyFont="1" applyFill="1" applyBorder="1"/>
    <xf numFmtId="166" fontId="53" fillId="11" borderId="34" xfId="11" applyFont="1" applyFill="1" applyBorder="1"/>
    <xf numFmtId="0" fontId="25" fillId="11" borderId="35" xfId="47" applyFill="1" applyBorder="1"/>
    <xf numFmtId="0" fontId="18" fillId="38" borderId="4" xfId="47" applyFont="1" applyFill="1" applyBorder="1"/>
    <xf numFmtId="0" fontId="53" fillId="11" borderId="33" xfId="47" applyFont="1" applyFill="1" applyBorder="1"/>
    <xf numFmtId="0" fontId="53" fillId="11" borderId="57" xfId="47" applyFont="1" applyFill="1" applyBorder="1"/>
    <xf numFmtId="0" fontId="18" fillId="38" borderId="0" xfId="47" applyFont="1" applyFill="1" applyBorder="1"/>
    <xf numFmtId="166" fontId="53" fillId="11" borderId="7" xfId="11" applyFont="1" applyFill="1" applyBorder="1"/>
    <xf numFmtId="0" fontId="25" fillId="11" borderId="0" xfId="47" applyFont="1" applyFill="1" applyBorder="1"/>
    <xf numFmtId="0" fontId="25" fillId="11" borderId="6" xfId="47" applyFont="1" applyFill="1" applyBorder="1"/>
    <xf numFmtId="166" fontId="53" fillId="11" borderId="0" xfId="11" applyFont="1" applyFill="1" applyBorder="1"/>
    <xf numFmtId="0" fontId="25" fillId="11" borderId="0" xfId="47" applyFill="1" applyBorder="1"/>
    <xf numFmtId="0" fontId="25" fillId="11" borderId="29" xfId="47" applyFill="1" applyBorder="1"/>
    <xf numFmtId="0" fontId="53" fillId="11" borderId="28" xfId="47" applyFont="1" applyFill="1" applyBorder="1"/>
    <xf numFmtId="0" fontId="18" fillId="38" borderId="53" xfId="47" applyFont="1" applyFill="1" applyBorder="1"/>
    <xf numFmtId="0" fontId="18" fillId="38" borderId="6" xfId="47" applyFont="1" applyFill="1" applyBorder="1"/>
    <xf numFmtId="0" fontId="77" fillId="38" borderId="58" xfId="47" applyFont="1" applyFill="1" applyBorder="1"/>
    <xf numFmtId="0" fontId="77" fillId="38" borderId="57" xfId="47" applyFont="1" applyFill="1" applyBorder="1"/>
    <xf numFmtId="0" fontId="25" fillId="38" borderId="55" xfId="47" applyFill="1" applyBorder="1"/>
    <xf numFmtId="0" fontId="17" fillId="38" borderId="6" xfId="47" applyFont="1" applyFill="1" applyBorder="1"/>
    <xf numFmtId="166" fontId="25" fillId="38" borderId="7" xfId="47" applyNumberFormat="1" applyFill="1" applyBorder="1"/>
    <xf numFmtId="0" fontId="25" fillId="38" borderId="56" xfId="47" applyFill="1" applyBorder="1"/>
    <xf numFmtId="0" fontId="25" fillId="38" borderId="58" xfId="47" applyFill="1" applyBorder="1"/>
    <xf numFmtId="166" fontId="17" fillId="38" borderId="6" xfId="11" applyFont="1" applyFill="1" applyBorder="1"/>
    <xf numFmtId="0" fontId="17" fillId="38" borderId="53" xfId="47" applyFont="1" applyFill="1" applyBorder="1"/>
    <xf numFmtId="0" fontId="0" fillId="8" borderId="33" xfId="0" applyFill="1" applyBorder="1"/>
    <xf numFmtId="0" fontId="0" fillId="8" borderId="34" xfId="0" applyFill="1" applyBorder="1"/>
    <xf numFmtId="0" fontId="0" fillId="8" borderId="35" xfId="0" applyFill="1" applyBorder="1"/>
    <xf numFmtId="0" fontId="0" fillId="10" borderId="33" xfId="0" applyFill="1" applyBorder="1"/>
    <xf numFmtId="0" fontId="0" fillId="10" borderId="34" xfId="0" applyFill="1" applyBorder="1"/>
    <xf numFmtId="0" fontId="0" fillId="10" borderId="35" xfId="0" applyFill="1" applyBorder="1"/>
    <xf numFmtId="0" fontId="0" fillId="10" borderId="28" xfId="0" applyFill="1" applyBorder="1"/>
    <xf numFmtId="0" fontId="0" fillId="10" borderId="29" xfId="0" applyFill="1" applyBorder="1"/>
    <xf numFmtId="0" fontId="0" fillId="10" borderId="30" xfId="0" applyFill="1" applyBorder="1"/>
    <xf numFmtId="0" fontId="0" fillId="10" borderId="31" xfId="0" applyFill="1" applyBorder="1"/>
    <xf numFmtId="0" fontId="0" fillId="10" borderId="32" xfId="0" applyFill="1" applyBorder="1"/>
    <xf numFmtId="0" fontId="40" fillId="10" borderId="28" xfId="0" applyFont="1" applyFill="1" applyBorder="1"/>
    <xf numFmtId="172" fontId="53" fillId="38" borderId="7" xfId="11" applyNumberFormat="1" applyFont="1" applyFill="1" applyBorder="1"/>
    <xf numFmtId="0" fontId="15" fillId="38" borderId="0" xfId="47" applyFont="1" applyFill="1" applyBorder="1"/>
    <xf numFmtId="0" fontId="22" fillId="38" borderId="0" xfId="47" applyFont="1" applyFill="1" applyBorder="1"/>
    <xf numFmtId="2" fontId="53" fillId="38" borderId="0" xfId="47" applyNumberFormat="1" applyFont="1" applyFill="1" applyBorder="1"/>
    <xf numFmtId="0" fontId="53" fillId="38" borderId="0" xfId="47" applyNumberFormat="1" applyFont="1" applyFill="1" applyBorder="1"/>
    <xf numFmtId="0" fontId="77" fillId="11" borderId="6" xfId="47" applyFont="1" applyFill="1" applyBorder="1"/>
    <xf numFmtId="0" fontId="77" fillId="11" borderId="0" xfId="47" applyFont="1" applyFill="1" applyBorder="1"/>
    <xf numFmtId="0" fontId="53" fillId="38" borderId="7" xfId="47" applyFont="1" applyFill="1" applyBorder="1"/>
    <xf numFmtId="0" fontId="16" fillId="42" borderId="59" xfId="47" applyFont="1" applyFill="1" applyBorder="1"/>
    <xf numFmtId="0" fontId="25" fillId="42" borderId="60" xfId="47" applyFill="1" applyBorder="1"/>
    <xf numFmtId="0" fontId="16" fillId="42" borderId="61" xfId="47" applyFont="1" applyFill="1" applyBorder="1"/>
    <xf numFmtId="166" fontId="53" fillId="42" borderId="60" xfId="47" applyNumberFormat="1" applyFont="1" applyFill="1" applyBorder="1"/>
    <xf numFmtId="0" fontId="25" fillId="42" borderId="62" xfId="47" applyFill="1" applyBorder="1"/>
    <xf numFmtId="0" fontId="25" fillId="42" borderId="63" xfId="47" applyFill="1" applyBorder="1"/>
    <xf numFmtId="0" fontId="25" fillId="42" borderId="50" xfId="47" applyFont="1" applyFill="1" applyBorder="1"/>
    <xf numFmtId="166" fontId="53" fillId="42" borderId="51" xfId="11" applyFont="1" applyFill="1" applyBorder="1"/>
    <xf numFmtId="0" fontId="25" fillId="42" borderId="53" xfId="47" applyFont="1" applyFill="1" applyBorder="1"/>
    <xf numFmtId="0" fontId="25" fillId="42" borderId="51" xfId="47" applyFill="1" applyBorder="1"/>
    <xf numFmtId="166" fontId="53" fillId="42" borderId="52" xfId="11" applyFont="1" applyFill="1" applyBorder="1"/>
    <xf numFmtId="0" fontId="25" fillId="42" borderId="54" xfId="47" applyFill="1" applyBorder="1"/>
    <xf numFmtId="0" fontId="43" fillId="11" borderId="28" xfId="9" applyFont="1" applyFill="1" applyBorder="1" applyAlignment="1">
      <alignment horizontal="center"/>
    </xf>
    <xf numFmtId="0" fontId="26" fillId="11" borderId="0" xfId="9" applyFill="1" applyBorder="1"/>
    <xf numFmtId="0" fontId="26" fillId="11" borderId="0" xfId="9" applyFont="1" applyFill="1" applyBorder="1"/>
    <xf numFmtId="1" fontId="26" fillId="11" borderId="0" xfId="9" applyNumberFormat="1" applyFill="1" applyBorder="1"/>
    <xf numFmtId="0" fontId="31" fillId="11" borderId="0" xfId="655" applyFont="1" applyFill="1" applyBorder="1" applyAlignment="1">
      <alignment vertical="center"/>
    </xf>
    <xf numFmtId="0" fontId="31" fillId="0" borderId="0" xfId="655" applyFont="1" applyFill="1" applyBorder="1" applyAlignment="1">
      <alignment vertical="center"/>
    </xf>
    <xf numFmtId="0" fontId="78" fillId="11" borderId="0" xfId="655" applyFont="1" applyFill="1" applyBorder="1" applyAlignment="1">
      <alignment vertical="center"/>
    </xf>
    <xf numFmtId="0" fontId="0" fillId="0" borderId="30" xfId="0" applyBorder="1"/>
    <xf numFmtId="0" fontId="0" fillId="0" borderId="31" xfId="0" applyBorder="1"/>
    <xf numFmtId="0" fontId="14" fillId="38" borderId="0" xfId="47" applyFont="1" applyFill="1" applyBorder="1" applyAlignment="1">
      <alignment horizontal="left"/>
    </xf>
    <xf numFmtId="0" fontId="42" fillId="8" borderId="21" xfId="5" applyFont="1" applyFill="1" applyBorder="1"/>
    <xf numFmtId="0" fontId="42" fillId="8" borderId="22" xfId="5" applyFont="1" applyFill="1" applyBorder="1"/>
    <xf numFmtId="2" fontId="42" fillId="8" borderId="22" xfId="5" applyNumberFormat="1" applyFont="1" applyFill="1" applyBorder="1"/>
    <xf numFmtId="14" fontId="42" fillId="8" borderId="22" xfId="5" applyNumberFormat="1" applyFont="1" applyFill="1" applyBorder="1"/>
    <xf numFmtId="0" fontId="14" fillId="38" borderId="0" xfId="47" applyFont="1" applyFill="1" applyBorder="1"/>
    <xf numFmtId="2" fontId="0" fillId="0" borderId="28" xfId="0" applyNumberFormat="1" applyBorder="1"/>
    <xf numFmtId="0" fontId="53" fillId="38" borderId="56" xfId="11" applyNumberFormat="1" applyFont="1" applyFill="1" applyBorder="1"/>
    <xf numFmtId="0" fontId="53" fillId="38" borderId="56" xfId="11" applyNumberFormat="1" applyFont="1" applyFill="1" applyBorder="1" applyAlignment="1">
      <alignment horizontal="left"/>
    </xf>
    <xf numFmtId="0" fontId="53" fillId="43" borderId="47" xfId="10" applyFont="1" applyFill="1" applyBorder="1"/>
    <xf numFmtId="166" fontId="0" fillId="0" borderId="28" xfId="0" applyNumberFormat="1" applyFill="1" applyBorder="1"/>
    <xf numFmtId="0" fontId="13" fillId="38" borderId="0" xfId="47" applyFont="1" applyFill="1" applyBorder="1"/>
    <xf numFmtId="0" fontId="26" fillId="0" borderId="0" xfId="10" applyFill="1" applyBorder="1"/>
    <xf numFmtId="14" fontId="13" fillId="38" borderId="0" xfId="47" applyNumberFormat="1" applyFont="1" applyFill="1" applyBorder="1" applyAlignment="1">
      <alignment horizontal="left"/>
    </xf>
    <xf numFmtId="0" fontId="26" fillId="0" borderId="0" xfId="10" applyFill="1" applyBorder="1" applyAlignment="1">
      <alignment horizontal="left"/>
    </xf>
    <xf numFmtId="0" fontId="13" fillId="38" borderId="6" xfId="47" applyFont="1" applyFill="1" applyBorder="1"/>
    <xf numFmtId="165" fontId="25" fillId="38" borderId="0" xfId="47" applyNumberFormat="1" applyFill="1" applyBorder="1"/>
    <xf numFmtId="166" fontId="25" fillId="38" borderId="0" xfId="47" applyNumberFormat="1" applyFill="1" applyBorder="1"/>
    <xf numFmtId="0" fontId="12" fillId="38" borderId="6" xfId="47" applyFont="1" applyFill="1" applyBorder="1"/>
    <xf numFmtId="0" fontId="12" fillId="0" borderId="0" xfId="9" applyFont="1" applyBorder="1"/>
    <xf numFmtId="0" fontId="11" fillId="38" borderId="28" xfId="47" applyFont="1" applyFill="1" applyBorder="1"/>
    <xf numFmtId="166" fontId="53" fillId="38" borderId="7" xfId="11" applyFont="1" applyFill="1" applyBorder="1" applyAlignment="1">
      <alignment horizontal="right"/>
    </xf>
    <xf numFmtId="0" fontId="26" fillId="0" borderId="48" xfId="10" applyFill="1" applyBorder="1"/>
    <xf numFmtId="0" fontId="10" fillId="9" borderId="0" xfId="0" applyFont="1" applyFill="1" applyBorder="1" applyAlignment="1">
      <alignment vertical="center"/>
    </xf>
    <xf numFmtId="0" fontId="10" fillId="9" borderId="29" xfId="0" applyFont="1" applyFill="1" applyBorder="1" applyAlignment="1">
      <alignment vertical="center"/>
    </xf>
    <xf numFmtId="0" fontId="10" fillId="38" borderId="28" xfId="47" applyFont="1" applyFill="1" applyBorder="1"/>
    <xf numFmtId="14" fontId="10" fillId="38" borderId="28" xfId="47" applyNumberFormat="1" applyFont="1" applyFill="1" applyBorder="1"/>
    <xf numFmtId="49" fontId="42" fillId="8" borderId="22" xfId="5" applyNumberFormat="1" applyFont="1" applyFill="1" applyBorder="1"/>
    <xf numFmtId="49" fontId="25" fillId="38" borderId="0" xfId="47" applyNumberFormat="1" applyFill="1" applyBorder="1" applyAlignment="1">
      <alignment horizontal="left"/>
    </xf>
    <xf numFmtId="0" fontId="26" fillId="0" borderId="47" xfId="10" applyFill="1" applyBorder="1"/>
    <xf numFmtId="0" fontId="43" fillId="11" borderId="33" xfId="9" applyFont="1" applyFill="1" applyBorder="1" applyAlignment="1">
      <alignment horizontal="center"/>
    </xf>
    <xf numFmtId="0" fontId="26" fillId="11" borderId="34" xfId="9" applyFill="1" applyBorder="1"/>
    <xf numFmtId="0" fontId="9" fillId="38" borderId="28" xfId="47" applyFont="1" applyFill="1" applyBorder="1"/>
    <xf numFmtId="173" fontId="53" fillId="38" borderId="7" xfId="11" applyNumberFormat="1" applyFont="1" applyFill="1" applyBorder="1"/>
    <xf numFmtId="0" fontId="9" fillId="38" borderId="50" xfId="47" applyFont="1" applyFill="1" applyBorder="1"/>
    <xf numFmtId="166" fontId="53" fillId="38" borderId="56" xfId="11" applyFont="1" applyFill="1" applyBorder="1"/>
    <xf numFmtId="0" fontId="9" fillId="38" borderId="0" xfId="47" applyFont="1" applyFill="1" applyBorder="1"/>
    <xf numFmtId="0" fontId="9" fillId="38" borderId="6" xfId="47" applyFont="1" applyFill="1" applyBorder="1"/>
    <xf numFmtId="14" fontId="53" fillId="38" borderId="7" xfId="11" applyNumberFormat="1" applyFont="1" applyFill="1" applyBorder="1"/>
    <xf numFmtId="0" fontId="40" fillId="43" borderId="25" xfId="0" applyFont="1" applyFill="1" applyBorder="1"/>
    <xf numFmtId="1" fontId="25" fillId="0" borderId="28" xfId="47" applyNumberFormat="1" applyFont="1" applyFill="1" applyBorder="1"/>
    <xf numFmtId="2" fontId="0" fillId="0" borderId="0" xfId="0" applyNumberFormat="1" applyFill="1"/>
    <xf numFmtId="0" fontId="40" fillId="43" borderId="49" xfId="0" applyFont="1" applyFill="1" applyBorder="1"/>
    <xf numFmtId="0" fontId="40" fillId="43" borderId="26" xfId="0" applyFont="1" applyFill="1" applyBorder="1"/>
    <xf numFmtId="1" fontId="24" fillId="0" borderId="28" xfId="47" applyNumberFormat="1" applyFont="1" applyFill="1" applyBorder="1"/>
    <xf numFmtId="0" fontId="9" fillId="38" borderId="31" xfId="47" applyFont="1" applyFill="1" applyBorder="1"/>
    <xf numFmtId="166" fontId="53" fillId="38" borderId="31" xfId="11" applyFont="1" applyFill="1" applyBorder="1"/>
    <xf numFmtId="0" fontId="9" fillId="38" borderId="51" xfId="47" applyFont="1" applyFill="1" applyBorder="1"/>
    <xf numFmtId="0" fontId="9" fillId="38" borderId="30" xfId="47" applyFont="1" applyFill="1" applyBorder="1"/>
    <xf numFmtId="173" fontId="53" fillId="38" borderId="0" xfId="11" applyNumberFormat="1" applyFont="1" applyFill="1" applyBorder="1"/>
    <xf numFmtId="10" fontId="41" fillId="0" borderId="0" xfId="0" applyNumberFormat="1" applyFont="1" applyFill="1"/>
    <xf numFmtId="0" fontId="0" fillId="0" borderId="0" xfId="0"/>
    <xf numFmtId="49" fontId="37" fillId="5" borderId="2" xfId="6" applyNumberFormat="1"/>
    <xf numFmtId="166" fontId="53" fillId="38" borderId="51" xfId="11" applyFont="1" applyFill="1" applyBorder="1"/>
    <xf numFmtId="166" fontId="53" fillId="38" borderId="52" xfId="11" applyFont="1" applyFill="1" applyBorder="1"/>
    <xf numFmtId="2" fontId="42" fillId="8" borderId="22" xfId="5" applyNumberFormat="1" applyFont="1" applyFill="1" applyBorder="1"/>
    <xf numFmtId="2" fontId="0" fillId="45" borderId="0" xfId="0" applyNumberFormat="1" applyFill="1"/>
    <xf numFmtId="10" fontId="41" fillId="44" borderId="0" xfId="0" applyNumberFormat="1" applyFont="1" applyFill="1"/>
    <xf numFmtId="1" fontId="25" fillId="0" borderId="30" xfId="47" applyNumberFormat="1" applyFill="1" applyBorder="1"/>
    <xf numFmtId="0" fontId="8" fillId="46" borderId="28" xfId="47" applyFont="1" applyFill="1" applyBorder="1"/>
    <xf numFmtId="2" fontId="25" fillId="46" borderId="0" xfId="47" applyNumberFormat="1" applyFill="1" applyBorder="1"/>
    <xf numFmtId="0" fontId="8" fillId="38" borderId="0" xfId="47" applyFont="1" applyFill="1" applyBorder="1"/>
    <xf numFmtId="0" fontId="7" fillId="38" borderId="28" xfId="47" applyFont="1" applyFill="1" applyBorder="1"/>
    <xf numFmtId="0" fontId="6" fillId="38" borderId="28" xfId="47" applyFont="1" applyFill="1" applyBorder="1"/>
    <xf numFmtId="0" fontId="6" fillId="38" borderId="0" xfId="47" applyFont="1" applyFill="1" applyBorder="1"/>
    <xf numFmtId="0" fontId="6" fillId="38" borderId="6" xfId="47" applyFont="1" applyFill="1" applyBorder="1"/>
    <xf numFmtId="0" fontId="25" fillId="0" borderId="0" xfId="432" applyFill="1" applyBorder="1"/>
    <xf numFmtId="0" fontId="25" fillId="40" borderId="49" xfId="47" applyFill="1" applyBorder="1"/>
    <xf numFmtId="0" fontId="25" fillId="0" borderId="47" xfId="47" applyFont="1" applyFill="1" applyBorder="1"/>
    <xf numFmtId="0" fontId="25" fillId="0" borderId="48" xfId="47" applyFill="1" applyBorder="1"/>
    <xf numFmtId="0" fontId="25" fillId="0" borderId="46" xfId="47" applyFill="1" applyBorder="1"/>
    <xf numFmtId="0" fontId="25" fillId="0" borderId="47" xfId="47" applyFill="1" applyBorder="1"/>
    <xf numFmtId="14" fontId="5" fillId="38" borderId="28" xfId="47" applyNumberFormat="1" applyFont="1" applyFill="1" applyBorder="1"/>
    <xf numFmtId="0" fontId="4" fillId="9" borderId="0" xfId="0" applyFont="1" applyFill="1" applyBorder="1" applyAlignment="1">
      <alignment vertical="center"/>
    </xf>
    <xf numFmtId="0" fontId="3" fillId="38" borderId="0" xfId="47" applyFont="1" applyFill="1" applyBorder="1"/>
    <xf numFmtId="14" fontId="2" fillId="38" borderId="28" xfId="47" applyNumberFormat="1" applyFont="1" applyFill="1" applyBorder="1"/>
    <xf numFmtId="0" fontId="2" fillId="38" borderId="28" xfId="47" applyFont="1" applyFill="1" applyBorder="1"/>
    <xf numFmtId="0" fontId="25" fillId="46" borderId="0" xfId="11" applyNumberFormat="1" applyFont="1" applyFill="1" applyBorder="1"/>
    <xf numFmtId="166" fontId="53" fillId="38" borderId="0" xfId="11" applyFont="1" applyFill="1" applyBorder="1" applyAlignment="1">
      <alignment horizontal="right"/>
    </xf>
    <xf numFmtId="14" fontId="1" fillId="38" borderId="28" xfId="47" applyNumberFormat="1" applyFont="1" applyFill="1" applyBorder="1"/>
    <xf numFmtId="0" fontId="1" fillId="38" borderId="0" xfId="47" applyFont="1" applyFill="1" applyBorder="1"/>
    <xf numFmtId="0" fontId="1" fillId="38" borderId="28" xfId="47" applyFont="1" applyFill="1" applyBorder="1"/>
    <xf numFmtId="14" fontId="25" fillId="38" borderId="46" xfId="12" applyNumberFormat="1" applyFont="1" applyFill="1" applyBorder="1"/>
    <xf numFmtId="2" fontId="0" fillId="0" borderId="0" xfId="0" applyNumberFormat="1"/>
    <xf numFmtId="0" fontId="1" fillId="38" borderId="6" xfId="47" applyFont="1" applyFill="1" applyBorder="1"/>
    <xf numFmtId="166" fontId="25" fillId="42" borderId="60" xfId="47" applyNumberFormat="1" applyFill="1" applyBorder="1"/>
    <xf numFmtId="0" fontId="25" fillId="38" borderId="0" xfId="11" applyNumberFormat="1" applyFont="1" applyFill="1" applyBorder="1"/>
    <xf numFmtId="177" fontId="0" fillId="10" borderId="0" xfId="0" applyNumberFormat="1" applyFill="1" applyBorder="1" applyAlignment="1">
      <alignment horizontal="left"/>
    </xf>
    <xf numFmtId="177" fontId="0" fillId="10" borderId="4" xfId="0" applyNumberFormat="1" applyFill="1" applyBorder="1" applyAlignment="1">
      <alignment horizontal="left"/>
    </xf>
    <xf numFmtId="14" fontId="0" fillId="10" borderId="4" xfId="0" applyNumberFormat="1" applyFill="1" applyBorder="1"/>
  </cellXfs>
  <cellStyles count="1202">
    <cellStyle name="=C:\WINNT35\SYSTEM32\COMMAND.COM" xfId="1132"/>
    <cellStyle name="=C:\WINNT35\SYSTEM32\COMMAND.COM 2" xfId="1153"/>
    <cellStyle name="=C:\WINNT35\SYSTEM32\COMMAND.COM 3" xfId="1142"/>
    <cellStyle name="20% - Accent1" xfId="24" builtinId="30" customBuiltin="1"/>
    <cellStyle name="20% - Accent1 10" xfId="537"/>
    <cellStyle name="20% - Accent1 10 2" xfId="992"/>
    <cellStyle name="20% - Accent1 11" xfId="659"/>
    <cellStyle name="20% - Accent1 12" xfId="1114"/>
    <cellStyle name="20% - Accent1 2" xfId="50"/>
    <cellStyle name="20% - Accent1 2 2" xfId="51"/>
    <cellStyle name="20% - Accent1 2 3" xfId="328"/>
    <cellStyle name="20% - Accent1 2 3 2" xfId="553"/>
    <cellStyle name="20% - Accent1 2 3 2 2" xfId="1008"/>
    <cellStyle name="20% - Accent1 2 3 3" xfId="783"/>
    <cellStyle name="20% - Accent1 2 4" xfId="433"/>
    <cellStyle name="20% - Accent1 2 4 2" xfId="888"/>
    <cellStyle name="20% - Accent1 2 5" xfId="675"/>
    <cellStyle name="20% - Accent1 2 6" xfId="1152"/>
    <cellStyle name="20% - Accent1 3" xfId="52"/>
    <cellStyle name="20% - Accent1 3 2" xfId="53"/>
    <cellStyle name="20% - Accent1 3 2 2" xfId="377"/>
    <cellStyle name="20% - Accent1 3 2 2 2" xfId="602"/>
    <cellStyle name="20% - Accent1 3 2 2 2 2" xfId="1057"/>
    <cellStyle name="20% - Accent1 3 2 2 3" xfId="832"/>
    <cellStyle name="20% - Accent1 3 2 3" xfId="435"/>
    <cellStyle name="20% - Accent1 3 2 3 2" xfId="890"/>
    <cellStyle name="20% - Accent1 3 2 4" xfId="677"/>
    <cellStyle name="20% - Accent1 3 3" xfId="350"/>
    <cellStyle name="20% - Accent1 3 3 2" xfId="575"/>
    <cellStyle name="20% - Accent1 3 3 2 2" xfId="1030"/>
    <cellStyle name="20% - Accent1 3 3 3" xfId="805"/>
    <cellStyle name="20% - Accent1 3 4" xfId="434"/>
    <cellStyle name="20% - Accent1 3 4 2" xfId="889"/>
    <cellStyle name="20% - Accent1 3 5" xfId="676"/>
    <cellStyle name="20% - Accent1 4" xfId="54"/>
    <cellStyle name="20% - Accent1 5" xfId="55"/>
    <cellStyle name="20% - Accent1 5 2" xfId="363"/>
    <cellStyle name="20% - Accent1 5 2 2" xfId="588"/>
    <cellStyle name="20% - Accent1 5 2 2 2" xfId="1043"/>
    <cellStyle name="20% - Accent1 5 2 3" xfId="818"/>
    <cellStyle name="20% - Accent1 5 3" xfId="436"/>
    <cellStyle name="20% - Accent1 5 3 2" xfId="891"/>
    <cellStyle name="20% - Accent1 5 4" xfId="678"/>
    <cellStyle name="20% - Accent1 6" xfId="56"/>
    <cellStyle name="20% - Accent1 6 2" xfId="390"/>
    <cellStyle name="20% - Accent1 6 2 2" xfId="615"/>
    <cellStyle name="20% - Accent1 6 2 2 2" xfId="1070"/>
    <cellStyle name="20% - Accent1 6 2 3" xfId="845"/>
    <cellStyle name="20% - Accent1 6 3" xfId="437"/>
    <cellStyle name="20% - Accent1 6 3 2" xfId="892"/>
    <cellStyle name="20% - Accent1 6 4" xfId="679"/>
    <cellStyle name="20% - Accent1 7" xfId="57"/>
    <cellStyle name="20% - Accent1 7 2" xfId="404"/>
    <cellStyle name="20% - Accent1 7 2 2" xfId="629"/>
    <cellStyle name="20% - Accent1 7 2 2 2" xfId="1084"/>
    <cellStyle name="20% - Accent1 7 2 3" xfId="859"/>
    <cellStyle name="20% - Accent1 7 3" xfId="438"/>
    <cellStyle name="20% - Accent1 7 3 2" xfId="893"/>
    <cellStyle name="20% - Accent1 7 4" xfId="680"/>
    <cellStyle name="20% - Accent1 8" xfId="58"/>
    <cellStyle name="20% - Accent1 8 2" xfId="417"/>
    <cellStyle name="20% - Accent1 8 2 2" xfId="642"/>
    <cellStyle name="20% - Accent1 8 2 2 2" xfId="1097"/>
    <cellStyle name="20% - Accent1 8 2 3" xfId="872"/>
    <cellStyle name="20% - Accent1 8 3" xfId="439"/>
    <cellStyle name="20% - Accent1 8 3 2" xfId="894"/>
    <cellStyle name="20% - Accent1 8 4" xfId="681"/>
    <cellStyle name="20% - Accent1 9" xfId="59"/>
    <cellStyle name="20% - Accent2" xfId="28" builtinId="34" customBuiltin="1"/>
    <cellStyle name="20% - Accent2 10" xfId="539"/>
    <cellStyle name="20% - Accent2 10 2" xfId="994"/>
    <cellStyle name="20% - Accent2 11" xfId="661"/>
    <cellStyle name="20% - Accent2 12" xfId="1116"/>
    <cellStyle name="20% - Accent2 2" xfId="60"/>
    <cellStyle name="20% - Accent2 2 2" xfId="61"/>
    <cellStyle name="20% - Accent2 2 3" xfId="329"/>
    <cellStyle name="20% - Accent2 2 3 2" xfId="554"/>
    <cellStyle name="20% - Accent2 2 3 2 2" xfId="1009"/>
    <cellStyle name="20% - Accent2 2 3 3" xfId="784"/>
    <cellStyle name="20% - Accent2 2 4" xfId="440"/>
    <cellStyle name="20% - Accent2 2 4 2" xfId="895"/>
    <cellStyle name="20% - Accent2 2 5" xfId="682"/>
    <cellStyle name="20% - Accent2 2 6" xfId="1133"/>
    <cellStyle name="20% - Accent2 3" xfId="62"/>
    <cellStyle name="20% - Accent2 3 2" xfId="63"/>
    <cellStyle name="20% - Accent2 3 2 2" xfId="379"/>
    <cellStyle name="20% - Accent2 3 2 2 2" xfId="604"/>
    <cellStyle name="20% - Accent2 3 2 2 2 2" xfId="1059"/>
    <cellStyle name="20% - Accent2 3 2 2 3" xfId="834"/>
    <cellStyle name="20% - Accent2 3 2 3" xfId="442"/>
    <cellStyle name="20% - Accent2 3 2 3 2" xfId="897"/>
    <cellStyle name="20% - Accent2 3 2 4" xfId="684"/>
    <cellStyle name="20% - Accent2 3 3" xfId="352"/>
    <cellStyle name="20% - Accent2 3 3 2" xfId="577"/>
    <cellStyle name="20% - Accent2 3 3 2 2" xfId="1032"/>
    <cellStyle name="20% - Accent2 3 3 3" xfId="807"/>
    <cellStyle name="20% - Accent2 3 4" xfId="441"/>
    <cellStyle name="20% - Accent2 3 4 2" xfId="896"/>
    <cellStyle name="20% - Accent2 3 5" xfId="683"/>
    <cellStyle name="20% - Accent2 4" xfId="64"/>
    <cellStyle name="20% - Accent2 5" xfId="65"/>
    <cellStyle name="20% - Accent2 5 2" xfId="365"/>
    <cellStyle name="20% - Accent2 5 2 2" xfId="590"/>
    <cellStyle name="20% - Accent2 5 2 2 2" xfId="1045"/>
    <cellStyle name="20% - Accent2 5 2 3" xfId="820"/>
    <cellStyle name="20% - Accent2 5 3" xfId="443"/>
    <cellStyle name="20% - Accent2 5 3 2" xfId="898"/>
    <cellStyle name="20% - Accent2 5 4" xfId="685"/>
    <cellStyle name="20% - Accent2 6" xfId="66"/>
    <cellStyle name="20% - Accent2 6 2" xfId="392"/>
    <cellStyle name="20% - Accent2 6 2 2" xfId="617"/>
    <cellStyle name="20% - Accent2 6 2 2 2" xfId="1072"/>
    <cellStyle name="20% - Accent2 6 2 3" xfId="847"/>
    <cellStyle name="20% - Accent2 6 3" xfId="444"/>
    <cellStyle name="20% - Accent2 6 3 2" xfId="899"/>
    <cellStyle name="20% - Accent2 6 4" xfId="686"/>
    <cellStyle name="20% - Accent2 7" xfId="67"/>
    <cellStyle name="20% - Accent2 7 2" xfId="406"/>
    <cellStyle name="20% - Accent2 7 2 2" xfId="631"/>
    <cellStyle name="20% - Accent2 7 2 2 2" xfId="1086"/>
    <cellStyle name="20% - Accent2 7 2 3" xfId="861"/>
    <cellStyle name="20% - Accent2 7 3" xfId="445"/>
    <cellStyle name="20% - Accent2 7 3 2" xfId="900"/>
    <cellStyle name="20% - Accent2 7 4" xfId="687"/>
    <cellStyle name="20% - Accent2 8" xfId="68"/>
    <cellStyle name="20% - Accent2 8 2" xfId="419"/>
    <cellStyle name="20% - Accent2 8 2 2" xfId="644"/>
    <cellStyle name="20% - Accent2 8 2 2 2" xfId="1099"/>
    <cellStyle name="20% - Accent2 8 2 3" xfId="874"/>
    <cellStyle name="20% - Accent2 8 3" xfId="446"/>
    <cellStyle name="20% - Accent2 8 3 2" xfId="901"/>
    <cellStyle name="20% - Accent2 8 4" xfId="688"/>
    <cellStyle name="20% - Accent2 9" xfId="69"/>
    <cellStyle name="20% - Accent3" xfId="32" builtinId="38" customBuiltin="1"/>
    <cellStyle name="20% - Accent3 10" xfId="541"/>
    <cellStyle name="20% - Accent3 10 2" xfId="996"/>
    <cellStyle name="20% - Accent3 11" xfId="663"/>
    <cellStyle name="20% - Accent3 12" xfId="1118"/>
    <cellStyle name="20% - Accent3 2" xfId="70"/>
    <cellStyle name="20% - Accent3 2 2" xfId="71"/>
    <cellStyle name="20% - Accent3 2 3" xfId="330"/>
    <cellStyle name="20% - Accent3 2 3 2" xfId="555"/>
    <cellStyle name="20% - Accent3 2 3 2 2" xfId="1010"/>
    <cellStyle name="20% - Accent3 2 3 3" xfId="785"/>
    <cellStyle name="20% - Accent3 2 4" xfId="447"/>
    <cellStyle name="20% - Accent3 2 4 2" xfId="902"/>
    <cellStyle name="20% - Accent3 2 5" xfId="689"/>
    <cellStyle name="20% - Accent3 2 6" xfId="1154"/>
    <cellStyle name="20% - Accent3 3" xfId="72"/>
    <cellStyle name="20% - Accent3 3 2" xfId="73"/>
    <cellStyle name="20% - Accent3 3 2 2" xfId="381"/>
    <cellStyle name="20% - Accent3 3 2 2 2" xfId="606"/>
    <cellStyle name="20% - Accent3 3 2 2 2 2" xfId="1061"/>
    <cellStyle name="20% - Accent3 3 2 2 3" xfId="836"/>
    <cellStyle name="20% - Accent3 3 2 3" xfId="449"/>
    <cellStyle name="20% - Accent3 3 2 3 2" xfId="904"/>
    <cellStyle name="20% - Accent3 3 2 4" xfId="691"/>
    <cellStyle name="20% - Accent3 3 3" xfId="354"/>
    <cellStyle name="20% - Accent3 3 3 2" xfId="579"/>
    <cellStyle name="20% - Accent3 3 3 2 2" xfId="1034"/>
    <cellStyle name="20% - Accent3 3 3 3" xfId="809"/>
    <cellStyle name="20% - Accent3 3 4" xfId="448"/>
    <cellStyle name="20% - Accent3 3 4 2" xfId="903"/>
    <cellStyle name="20% - Accent3 3 5" xfId="690"/>
    <cellStyle name="20% - Accent3 4" xfId="74"/>
    <cellStyle name="20% - Accent3 5" xfId="75"/>
    <cellStyle name="20% - Accent3 5 2" xfId="367"/>
    <cellStyle name="20% - Accent3 5 2 2" xfId="592"/>
    <cellStyle name="20% - Accent3 5 2 2 2" xfId="1047"/>
    <cellStyle name="20% - Accent3 5 2 3" xfId="822"/>
    <cellStyle name="20% - Accent3 5 3" xfId="450"/>
    <cellStyle name="20% - Accent3 5 3 2" xfId="905"/>
    <cellStyle name="20% - Accent3 5 4" xfId="692"/>
    <cellStyle name="20% - Accent3 6" xfId="76"/>
    <cellStyle name="20% - Accent3 6 2" xfId="394"/>
    <cellStyle name="20% - Accent3 6 2 2" xfId="619"/>
    <cellStyle name="20% - Accent3 6 2 2 2" xfId="1074"/>
    <cellStyle name="20% - Accent3 6 2 3" xfId="849"/>
    <cellStyle name="20% - Accent3 6 3" xfId="451"/>
    <cellStyle name="20% - Accent3 6 3 2" xfId="906"/>
    <cellStyle name="20% - Accent3 6 4" xfId="693"/>
    <cellStyle name="20% - Accent3 7" xfId="77"/>
    <cellStyle name="20% - Accent3 7 2" xfId="408"/>
    <cellStyle name="20% - Accent3 7 2 2" xfId="633"/>
    <cellStyle name="20% - Accent3 7 2 2 2" xfId="1088"/>
    <cellStyle name="20% - Accent3 7 2 3" xfId="863"/>
    <cellStyle name="20% - Accent3 7 3" xfId="452"/>
    <cellStyle name="20% - Accent3 7 3 2" xfId="907"/>
    <cellStyle name="20% - Accent3 7 4" xfId="694"/>
    <cellStyle name="20% - Accent3 8" xfId="78"/>
    <cellStyle name="20% - Accent3 8 2" xfId="421"/>
    <cellStyle name="20% - Accent3 8 2 2" xfId="646"/>
    <cellStyle name="20% - Accent3 8 2 2 2" xfId="1101"/>
    <cellStyle name="20% - Accent3 8 2 3" xfId="876"/>
    <cellStyle name="20% - Accent3 8 3" xfId="453"/>
    <cellStyle name="20% - Accent3 8 3 2" xfId="908"/>
    <cellStyle name="20% - Accent3 8 4" xfId="695"/>
    <cellStyle name="20% - Accent3 9" xfId="79"/>
    <cellStyle name="20% - Accent4" xfId="36" builtinId="42" customBuiltin="1"/>
    <cellStyle name="20% - Accent4 10" xfId="543"/>
    <cellStyle name="20% - Accent4 10 2" xfId="998"/>
    <cellStyle name="20% - Accent4 11" xfId="665"/>
    <cellStyle name="20% - Accent4 12" xfId="1120"/>
    <cellStyle name="20% - Accent4 2" xfId="80"/>
    <cellStyle name="20% - Accent4 2 2" xfId="81"/>
    <cellStyle name="20% - Accent4 2 3" xfId="331"/>
    <cellStyle name="20% - Accent4 2 3 2" xfId="556"/>
    <cellStyle name="20% - Accent4 2 3 2 2" xfId="1011"/>
    <cellStyle name="20% - Accent4 2 3 3" xfId="786"/>
    <cellStyle name="20% - Accent4 2 4" xfId="454"/>
    <cellStyle name="20% - Accent4 2 4 2" xfId="909"/>
    <cellStyle name="20% - Accent4 2 5" xfId="696"/>
    <cellStyle name="20% - Accent4 2 6" xfId="1130"/>
    <cellStyle name="20% - Accent4 3" xfId="82"/>
    <cellStyle name="20% - Accent4 3 2" xfId="83"/>
    <cellStyle name="20% - Accent4 3 2 2" xfId="383"/>
    <cellStyle name="20% - Accent4 3 2 2 2" xfId="608"/>
    <cellStyle name="20% - Accent4 3 2 2 2 2" xfId="1063"/>
    <cellStyle name="20% - Accent4 3 2 2 3" xfId="838"/>
    <cellStyle name="20% - Accent4 3 2 3" xfId="456"/>
    <cellStyle name="20% - Accent4 3 2 3 2" xfId="911"/>
    <cellStyle name="20% - Accent4 3 2 4" xfId="698"/>
    <cellStyle name="20% - Accent4 3 3" xfId="356"/>
    <cellStyle name="20% - Accent4 3 3 2" xfId="581"/>
    <cellStyle name="20% - Accent4 3 3 2 2" xfId="1036"/>
    <cellStyle name="20% - Accent4 3 3 3" xfId="811"/>
    <cellStyle name="20% - Accent4 3 4" xfId="455"/>
    <cellStyle name="20% - Accent4 3 4 2" xfId="910"/>
    <cellStyle name="20% - Accent4 3 5" xfId="697"/>
    <cellStyle name="20% - Accent4 4" xfId="84"/>
    <cellStyle name="20% - Accent4 5" xfId="85"/>
    <cellStyle name="20% - Accent4 5 2" xfId="369"/>
    <cellStyle name="20% - Accent4 5 2 2" xfId="594"/>
    <cellStyle name="20% - Accent4 5 2 2 2" xfId="1049"/>
    <cellStyle name="20% - Accent4 5 2 3" xfId="824"/>
    <cellStyle name="20% - Accent4 5 3" xfId="457"/>
    <cellStyle name="20% - Accent4 5 3 2" xfId="912"/>
    <cellStyle name="20% - Accent4 5 4" xfId="699"/>
    <cellStyle name="20% - Accent4 6" xfId="86"/>
    <cellStyle name="20% - Accent4 6 2" xfId="396"/>
    <cellStyle name="20% - Accent4 6 2 2" xfId="621"/>
    <cellStyle name="20% - Accent4 6 2 2 2" xfId="1076"/>
    <cellStyle name="20% - Accent4 6 2 3" xfId="851"/>
    <cellStyle name="20% - Accent4 6 3" xfId="458"/>
    <cellStyle name="20% - Accent4 6 3 2" xfId="913"/>
    <cellStyle name="20% - Accent4 6 4" xfId="700"/>
    <cellStyle name="20% - Accent4 7" xfId="87"/>
    <cellStyle name="20% - Accent4 7 2" xfId="410"/>
    <cellStyle name="20% - Accent4 7 2 2" xfId="635"/>
    <cellStyle name="20% - Accent4 7 2 2 2" xfId="1090"/>
    <cellStyle name="20% - Accent4 7 2 3" xfId="865"/>
    <cellStyle name="20% - Accent4 7 3" xfId="459"/>
    <cellStyle name="20% - Accent4 7 3 2" xfId="914"/>
    <cellStyle name="20% - Accent4 7 4" xfId="701"/>
    <cellStyle name="20% - Accent4 8" xfId="88"/>
    <cellStyle name="20% - Accent4 8 2" xfId="423"/>
    <cellStyle name="20% - Accent4 8 2 2" xfId="648"/>
    <cellStyle name="20% - Accent4 8 2 2 2" xfId="1103"/>
    <cellStyle name="20% - Accent4 8 2 3" xfId="878"/>
    <cellStyle name="20% - Accent4 8 3" xfId="460"/>
    <cellStyle name="20% - Accent4 8 3 2" xfId="915"/>
    <cellStyle name="20% - Accent4 8 4" xfId="702"/>
    <cellStyle name="20% - Accent4 9" xfId="89"/>
    <cellStyle name="20% - Accent5" xfId="40" builtinId="46" customBuiltin="1"/>
    <cellStyle name="20% - Accent5 10" xfId="545"/>
    <cellStyle name="20% - Accent5 10 2" xfId="1000"/>
    <cellStyle name="20% - Accent5 11" xfId="667"/>
    <cellStyle name="20% - Accent5 12" xfId="1122"/>
    <cellStyle name="20% - Accent5 2" xfId="90"/>
    <cellStyle name="20% - Accent5 2 2" xfId="91"/>
    <cellStyle name="20% - Accent5 2 3" xfId="332"/>
    <cellStyle name="20% - Accent5 2 3 2" xfId="557"/>
    <cellStyle name="20% - Accent5 2 3 2 2" xfId="1012"/>
    <cellStyle name="20% - Accent5 2 3 3" xfId="787"/>
    <cellStyle name="20% - Accent5 2 4" xfId="461"/>
    <cellStyle name="20% - Accent5 2 4 2" xfId="916"/>
    <cellStyle name="20% - Accent5 2 5" xfId="703"/>
    <cellStyle name="20% - Accent5 2 6" xfId="1136"/>
    <cellStyle name="20% - Accent5 3" xfId="92"/>
    <cellStyle name="20% - Accent5 3 2" xfId="93"/>
    <cellStyle name="20% - Accent5 3 2 2" xfId="385"/>
    <cellStyle name="20% - Accent5 3 2 2 2" xfId="610"/>
    <cellStyle name="20% - Accent5 3 2 2 2 2" xfId="1065"/>
    <cellStyle name="20% - Accent5 3 2 2 3" xfId="840"/>
    <cellStyle name="20% - Accent5 3 2 3" xfId="463"/>
    <cellStyle name="20% - Accent5 3 2 3 2" xfId="918"/>
    <cellStyle name="20% - Accent5 3 2 4" xfId="705"/>
    <cellStyle name="20% - Accent5 3 3" xfId="358"/>
    <cellStyle name="20% - Accent5 3 3 2" xfId="583"/>
    <cellStyle name="20% - Accent5 3 3 2 2" xfId="1038"/>
    <cellStyle name="20% - Accent5 3 3 3" xfId="813"/>
    <cellStyle name="20% - Accent5 3 4" xfId="462"/>
    <cellStyle name="20% - Accent5 3 4 2" xfId="917"/>
    <cellStyle name="20% - Accent5 3 5" xfId="704"/>
    <cellStyle name="20% - Accent5 4" xfId="94"/>
    <cellStyle name="20% - Accent5 5" xfId="95"/>
    <cellStyle name="20% - Accent5 5 2" xfId="371"/>
    <cellStyle name="20% - Accent5 5 2 2" xfId="596"/>
    <cellStyle name="20% - Accent5 5 2 2 2" xfId="1051"/>
    <cellStyle name="20% - Accent5 5 2 3" xfId="826"/>
    <cellStyle name="20% - Accent5 5 3" xfId="464"/>
    <cellStyle name="20% - Accent5 5 3 2" xfId="919"/>
    <cellStyle name="20% - Accent5 5 4" xfId="706"/>
    <cellStyle name="20% - Accent5 6" xfId="96"/>
    <cellStyle name="20% - Accent5 6 2" xfId="398"/>
    <cellStyle name="20% - Accent5 6 2 2" xfId="623"/>
    <cellStyle name="20% - Accent5 6 2 2 2" xfId="1078"/>
    <cellStyle name="20% - Accent5 6 2 3" xfId="853"/>
    <cellStyle name="20% - Accent5 6 3" xfId="465"/>
    <cellStyle name="20% - Accent5 6 3 2" xfId="920"/>
    <cellStyle name="20% - Accent5 6 4" xfId="707"/>
    <cellStyle name="20% - Accent5 7" xfId="97"/>
    <cellStyle name="20% - Accent5 7 2" xfId="412"/>
    <cellStyle name="20% - Accent5 7 2 2" xfId="637"/>
    <cellStyle name="20% - Accent5 7 2 2 2" xfId="1092"/>
    <cellStyle name="20% - Accent5 7 2 3" xfId="867"/>
    <cellStyle name="20% - Accent5 7 3" xfId="466"/>
    <cellStyle name="20% - Accent5 7 3 2" xfId="921"/>
    <cellStyle name="20% - Accent5 7 4" xfId="708"/>
    <cellStyle name="20% - Accent5 8" xfId="98"/>
    <cellStyle name="20% - Accent5 8 2" xfId="425"/>
    <cellStyle name="20% - Accent5 8 2 2" xfId="650"/>
    <cellStyle name="20% - Accent5 8 2 2 2" xfId="1105"/>
    <cellStyle name="20% - Accent5 8 2 3" xfId="880"/>
    <cellStyle name="20% - Accent5 8 3" xfId="467"/>
    <cellStyle name="20% - Accent5 8 3 2" xfId="922"/>
    <cellStyle name="20% - Accent5 8 4" xfId="709"/>
    <cellStyle name="20% - Accent5 9" xfId="99"/>
    <cellStyle name="20% - Accent6" xfId="44" builtinId="50" customBuiltin="1"/>
    <cellStyle name="20% - Accent6 10" xfId="547"/>
    <cellStyle name="20% - Accent6 10 2" xfId="1002"/>
    <cellStyle name="20% - Accent6 11" xfId="669"/>
    <cellStyle name="20% - Accent6 12" xfId="1124"/>
    <cellStyle name="20% - Accent6 2" xfId="100"/>
    <cellStyle name="20% - Accent6 2 2" xfId="101"/>
    <cellStyle name="20% - Accent6 2 3" xfId="333"/>
    <cellStyle name="20% - Accent6 2 3 2" xfId="558"/>
    <cellStyle name="20% - Accent6 2 3 2 2" xfId="1013"/>
    <cellStyle name="20% - Accent6 2 3 3" xfId="788"/>
    <cellStyle name="20% - Accent6 2 4" xfId="468"/>
    <cellStyle name="20% - Accent6 2 4 2" xfId="923"/>
    <cellStyle name="20% - Accent6 2 5" xfId="710"/>
    <cellStyle name="20% - Accent6 2 6" xfId="1164"/>
    <cellStyle name="20% - Accent6 3" xfId="102"/>
    <cellStyle name="20% - Accent6 3 2" xfId="103"/>
    <cellStyle name="20% - Accent6 3 2 2" xfId="387"/>
    <cellStyle name="20% - Accent6 3 2 2 2" xfId="612"/>
    <cellStyle name="20% - Accent6 3 2 2 2 2" xfId="1067"/>
    <cellStyle name="20% - Accent6 3 2 2 3" xfId="842"/>
    <cellStyle name="20% - Accent6 3 2 3" xfId="470"/>
    <cellStyle name="20% - Accent6 3 2 3 2" xfId="925"/>
    <cellStyle name="20% - Accent6 3 2 4" xfId="712"/>
    <cellStyle name="20% - Accent6 3 3" xfId="360"/>
    <cellStyle name="20% - Accent6 3 3 2" xfId="585"/>
    <cellStyle name="20% - Accent6 3 3 2 2" xfId="1040"/>
    <cellStyle name="20% - Accent6 3 3 3" xfId="815"/>
    <cellStyle name="20% - Accent6 3 4" xfId="469"/>
    <cellStyle name="20% - Accent6 3 4 2" xfId="924"/>
    <cellStyle name="20% - Accent6 3 5" xfId="711"/>
    <cellStyle name="20% - Accent6 4" xfId="104"/>
    <cellStyle name="20% - Accent6 5" xfId="105"/>
    <cellStyle name="20% - Accent6 5 2" xfId="373"/>
    <cellStyle name="20% - Accent6 5 2 2" xfId="598"/>
    <cellStyle name="20% - Accent6 5 2 2 2" xfId="1053"/>
    <cellStyle name="20% - Accent6 5 2 3" xfId="828"/>
    <cellStyle name="20% - Accent6 5 3" xfId="471"/>
    <cellStyle name="20% - Accent6 5 3 2" xfId="926"/>
    <cellStyle name="20% - Accent6 5 4" xfId="713"/>
    <cellStyle name="20% - Accent6 6" xfId="106"/>
    <cellStyle name="20% - Accent6 6 2" xfId="400"/>
    <cellStyle name="20% - Accent6 6 2 2" xfId="625"/>
    <cellStyle name="20% - Accent6 6 2 2 2" xfId="1080"/>
    <cellStyle name="20% - Accent6 6 2 3" xfId="855"/>
    <cellStyle name="20% - Accent6 6 3" xfId="472"/>
    <cellStyle name="20% - Accent6 6 3 2" xfId="927"/>
    <cellStyle name="20% - Accent6 6 4" xfId="714"/>
    <cellStyle name="20% - Accent6 7" xfId="107"/>
    <cellStyle name="20% - Accent6 7 2" xfId="414"/>
    <cellStyle name="20% - Accent6 7 2 2" xfId="639"/>
    <cellStyle name="20% - Accent6 7 2 2 2" xfId="1094"/>
    <cellStyle name="20% - Accent6 7 2 3" xfId="869"/>
    <cellStyle name="20% - Accent6 7 3" xfId="473"/>
    <cellStyle name="20% - Accent6 7 3 2" xfId="928"/>
    <cellStyle name="20% - Accent6 7 4" xfId="715"/>
    <cellStyle name="20% - Accent6 8" xfId="108"/>
    <cellStyle name="20% - Accent6 8 2" xfId="427"/>
    <cellStyle name="20% - Accent6 8 2 2" xfId="652"/>
    <cellStyle name="20% - Accent6 8 2 2 2" xfId="1107"/>
    <cellStyle name="20% - Accent6 8 2 3" xfId="882"/>
    <cellStyle name="20% - Accent6 8 3" xfId="474"/>
    <cellStyle name="20% - Accent6 8 3 2" xfId="929"/>
    <cellStyle name="20% - Accent6 8 4" xfId="716"/>
    <cellStyle name="20% - Accent6 9" xfId="109"/>
    <cellStyle name="40% - Accent1" xfId="25" builtinId="31" customBuiltin="1"/>
    <cellStyle name="40% - Accent1 10" xfId="538"/>
    <cellStyle name="40% - Accent1 10 2" xfId="993"/>
    <cellStyle name="40% - Accent1 11" xfId="660"/>
    <cellStyle name="40% - Accent1 12" xfId="1115"/>
    <cellStyle name="40% - Accent1 2" xfId="110"/>
    <cellStyle name="40% - Accent1 2 2" xfId="111"/>
    <cellStyle name="40% - Accent1 2 3" xfId="334"/>
    <cellStyle name="40% - Accent1 2 3 2" xfId="559"/>
    <cellStyle name="40% - Accent1 2 3 2 2" xfId="1014"/>
    <cellStyle name="40% - Accent1 2 3 3" xfId="789"/>
    <cellStyle name="40% - Accent1 2 4" xfId="475"/>
    <cellStyle name="40% - Accent1 2 4 2" xfId="930"/>
    <cellStyle name="40% - Accent1 2 5" xfId="717"/>
    <cellStyle name="40% - Accent1 2 6" xfId="1143"/>
    <cellStyle name="40% - Accent1 3" xfId="112"/>
    <cellStyle name="40% - Accent1 3 2" xfId="113"/>
    <cellStyle name="40% - Accent1 3 2 2" xfId="378"/>
    <cellStyle name="40% - Accent1 3 2 2 2" xfId="603"/>
    <cellStyle name="40% - Accent1 3 2 2 2 2" xfId="1058"/>
    <cellStyle name="40% - Accent1 3 2 2 3" xfId="833"/>
    <cellStyle name="40% - Accent1 3 2 3" xfId="477"/>
    <cellStyle name="40% - Accent1 3 2 3 2" xfId="932"/>
    <cellStyle name="40% - Accent1 3 2 4" xfId="719"/>
    <cellStyle name="40% - Accent1 3 3" xfId="351"/>
    <cellStyle name="40% - Accent1 3 3 2" xfId="576"/>
    <cellStyle name="40% - Accent1 3 3 2 2" xfId="1031"/>
    <cellStyle name="40% - Accent1 3 3 3" xfId="806"/>
    <cellStyle name="40% - Accent1 3 4" xfId="476"/>
    <cellStyle name="40% - Accent1 3 4 2" xfId="931"/>
    <cellStyle name="40% - Accent1 3 5" xfId="718"/>
    <cellStyle name="40% - Accent1 4" xfId="114"/>
    <cellStyle name="40% - Accent1 5" xfId="115"/>
    <cellStyle name="40% - Accent1 5 2" xfId="364"/>
    <cellStyle name="40% - Accent1 5 2 2" xfId="589"/>
    <cellStyle name="40% - Accent1 5 2 2 2" xfId="1044"/>
    <cellStyle name="40% - Accent1 5 2 3" xfId="819"/>
    <cellStyle name="40% - Accent1 5 3" xfId="478"/>
    <cellStyle name="40% - Accent1 5 3 2" xfId="933"/>
    <cellStyle name="40% - Accent1 5 4" xfId="720"/>
    <cellStyle name="40% - Accent1 6" xfId="116"/>
    <cellStyle name="40% - Accent1 6 2" xfId="391"/>
    <cellStyle name="40% - Accent1 6 2 2" xfId="616"/>
    <cellStyle name="40% - Accent1 6 2 2 2" xfId="1071"/>
    <cellStyle name="40% - Accent1 6 2 3" xfId="846"/>
    <cellStyle name="40% - Accent1 6 3" xfId="479"/>
    <cellStyle name="40% - Accent1 6 3 2" xfId="934"/>
    <cellStyle name="40% - Accent1 6 4" xfId="721"/>
    <cellStyle name="40% - Accent1 7" xfId="117"/>
    <cellStyle name="40% - Accent1 7 2" xfId="405"/>
    <cellStyle name="40% - Accent1 7 2 2" xfId="630"/>
    <cellStyle name="40% - Accent1 7 2 2 2" xfId="1085"/>
    <cellStyle name="40% - Accent1 7 2 3" xfId="860"/>
    <cellStyle name="40% - Accent1 7 3" xfId="480"/>
    <cellStyle name="40% - Accent1 7 3 2" xfId="935"/>
    <cellStyle name="40% - Accent1 7 4" xfId="722"/>
    <cellStyle name="40% - Accent1 8" xfId="118"/>
    <cellStyle name="40% - Accent1 8 2" xfId="418"/>
    <cellStyle name="40% - Accent1 8 2 2" xfId="643"/>
    <cellStyle name="40% - Accent1 8 2 2 2" xfId="1098"/>
    <cellStyle name="40% - Accent1 8 2 3" xfId="873"/>
    <cellStyle name="40% - Accent1 8 3" xfId="481"/>
    <cellStyle name="40% - Accent1 8 3 2" xfId="936"/>
    <cellStyle name="40% - Accent1 8 4" xfId="723"/>
    <cellStyle name="40% - Accent1 9" xfId="119"/>
    <cellStyle name="40% - Accent2" xfId="29" builtinId="35" customBuiltin="1"/>
    <cellStyle name="40% - Accent2 10" xfId="540"/>
    <cellStyle name="40% - Accent2 10 2" xfId="995"/>
    <cellStyle name="40% - Accent2 11" xfId="662"/>
    <cellStyle name="40% - Accent2 12" xfId="1117"/>
    <cellStyle name="40% - Accent2 2" xfId="120"/>
    <cellStyle name="40% - Accent2 2 2" xfId="121"/>
    <cellStyle name="40% - Accent2 2 3" xfId="335"/>
    <cellStyle name="40% - Accent2 2 3 2" xfId="560"/>
    <cellStyle name="40% - Accent2 2 3 2 2" xfId="1015"/>
    <cellStyle name="40% - Accent2 2 3 3" xfId="790"/>
    <cellStyle name="40% - Accent2 2 4" xfId="482"/>
    <cellStyle name="40% - Accent2 2 4 2" xfId="937"/>
    <cellStyle name="40% - Accent2 2 5" xfId="724"/>
    <cellStyle name="40% - Accent2 2 6" xfId="1129"/>
    <cellStyle name="40% - Accent2 3" xfId="122"/>
    <cellStyle name="40% - Accent2 3 2" xfId="123"/>
    <cellStyle name="40% - Accent2 3 2 2" xfId="380"/>
    <cellStyle name="40% - Accent2 3 2 2 2" xfId="605"/>
    <cellStyle name="40% - Accent2 3 2 2 2 2" xfId="1060"/>
    <cellStyle name="40% - Accent2 3 2 2 3" xfId="835"/>
    <cellStyle name="40% - Accent2 3 2 3" xfId="484"/>
    <cellStyle name="40% - Accent2 3 2 3 2" xfId="939"/>
    <cellStyle name="40% - Accent2 3 2 4" xfId="726"/>
    <cellStyle name="40% - Accent2 3 3" xfId="353"/>
    <cellStyle name="40% - Accent2 3 3 2" xfId="578"/>
    <cellStyle name="40% - Accent2 3 3 2 2" xfId="1033"/>
    <cellStyle name="40% - Accent2 3 3 3" xfId="808"/>
    <cellStyle name="40% - Accent2 3 4" xfId="483"/>
    <cellStyle name="40% - Accent2 3 4 2" xfId="938"/>
    <cellStyle name="40% - Accent2 3 5" xfId="725"/>
    <cellStyle name="40% - Accent2 4" xfId="124"/>
    <cellStyle name="40% - Accent2 5" xfId="125"/>
    <cellStyle name="40% - Accent2 5 2" xfId="366"/>
    <cellStyle name="40% - Accent2 5 2 2" xfId="591"/>
    <cellStyle name="40% - Accent2 5 2 2 2" xfId="1046"/>
    <cellStyle name="40% - Accent2 5 2 3" xfId="821"/>
    <cellStyle name="40% - Accent2 5 3" xfId="485"/>
    <cellStyle name="40% - Accent2 5 3 2" xfId="940"/>
    <cellStyle name="40% - Accent2 5 4" xfId="727"/>
    <cellStyle name="40% - Accent2 6" xfId="126"/>
    <cellStyle name="40% - Accent2 6 2" xfId="393"/>
    <cellStyle name="40% - Accent2 6 2 2" xfId="618"/>
    <cellStyle name="40% - Accent2 6 2 2 2" xfId="1073"/>
    <cellStyle name="40% - Accent2 6 2 3" xfId="848"/>
    <cellStyle name="40% - Accent2 6 3" xfId="486"/>
    <cellStyle name="40% - Accent2 6 3 2" xfId="941"/>
    <cellStyle name="40% - Accent2 6 4" xfId="728"/>
    <cellStyle name="40% - Accent2 7" xfId="127"/>
    <cellStyle name="40% - Accent2 7 2" xfId="407"/>
    <cellStyle name="40% - Accent2 7 2 2" xfId="632"/>
    <cellStyle name="40% - Accent2 7 2 2 2" xfId="1087"/>
    <cellStyle name="40% - Accent2 7 2 3" xfId="862"/>
    <cellStyle name="40% - Accent2 7 3" xfId="487"/>
    <cellStyle name="40% - Accent2 7 3 2" xfId="942"/>
    <cellStyle name="40% - Accent2 7 4" xfId="729"/>
    <cellStyle name="40% - Accent2 8" xfId="128"/>
    <cellStyle name="40% - Accent2 8 2" xfId="420"/>
    <cellStyle name="40% - Accent2 8 2 2" xfId="645"/>
    <cellStyle name="40% - Accent2 8 2 2 2" xfId="1100"/>
    <cellStyle name="40% - Accent2 8 2 3" xfId="875"/>
    <cellStyle name="40% - Accent2 8 3" xfId="488"/>
    <cellStyle name="40% - Accent2 8 3 2" xfId="943"/>
    <cellStyle name="40% - Accent2 8 4" xfId="730"/>
    <cellStyle name="40% - Accent2 9" xfId="129"/>
    <cellStyle name="40% - Accent3" xfId="33" builtinId="39" customBuiltin="1"/>
    <cellStyle name="40% - Accent3 10" xfId="542"/>
    <cellStyle name="40% - Accent3 10 2" xfId="997"/>
    <cellStyle name="40% - Accent3 11" xfId="664"/>
    <cellStyle name="40% - Accent3 12" xfId="1119"/>
    <cellStyle name="40% - Accent3 2" xfId="130"/>
    <cellStyle name="40% - Accent3 2 2" xfId="131"/>
    <cellStyle name="40% - Accent3 2 3" xfId="336"/>
    <cellStyle name="40% - Accent3 2 3 2" xfId="561"/>
    <cellStyle name="40% - Accent3 2 3 2 2" xfId="1016"/>
    <cellStyle name="40% - Accent3 2 3 3" xfId="791"/>
    <cellStyle name="40% - Accent3 2 4" xfId="489"/>
    <cellStyle name="40% - Accent3 2 4 2" xfId="944"/>
    <cellStyle name="40% - Accent3 2 5" xfId="731"/>
    <cellStyle name="40% - Accent3 2 6" xfId="1161"/>
    <cellStyle name="40% - Accent3 3" xfId="132"/>
    <cellStyle name="40% - Accent3 3 2" xfId="133"/>
    <cellStyle name="40% - Accent3 3 2 2" xfId="382"/>
    <cellStyle name="40% - Accent3 3 2 2 2" xfId="607"/>
    <cellStyle name="40% - Accent3 3 2 2 2 2" xfId="1062"/>
    <cellStyle name="40% - Accent3 3 2 2 3" xfId="837"/>
    <cellStyle name="40% - Accent3 3 2 3" xfId="491"/>
    <cellStyle name="40% - Accent3 3 2 3 2" xfId="946"/>
    <cellStyle name="40% - Accent3 3 2 4" xfId="733"/>
    <cellStyle name="40% - Accent3 3 3" xfId="355"/>
    <cellStyle name="40% - Accent3 3 3 2" xfId="580"/>
    <cellStyle name="40% - Accent3 3 3 2 2" xfId="1035"/>
    <cellStyle name="40% - Accent3 3 3 3" xfId="810"/>
    <cellStyle name="40% - Accent3 3 4" xfId="490"/>
    <cellStyle name="40% - Accent3 3 4 2" xfId="945"/>
    <cellStyle name="40% - Accent3 3 5" xfId="732"/>
    <cellStyle name="40% - Accent3 4" xfId="134"/>
    <cellStyle name="40% - Accent3 5" xfId="135"/>
    <cellStyle name="40% - Accent3 5 2" xfId="368"/>
    <cellStyle name="40% - Accent3 5 2 2" xfId="593"/>
    <cellStyle name="40% - Accent3 5 2 2 2" xfId="1048"/>
    <cellStyle name="40% - Accent3 5 2 3" xfId="823"/>
    <cellStyle name="40% - Accent3 5 3" xfId="492"/>
    <cellStyle name="40% - Accent3 5 3 2" xfId="947"/>
    <cellStyle name="40% - Accent3 5 4" xfId="734"/>
    <cellStyle name="40% - Accent3 6" xfId="136"/>
    <cellStyle name="40% - Accent3 6 2" xfId="395"/>
    <cellStyle name="40% - Accent3 6 2 2" xfId="620"/>
    <cellStyle name="40% - Accent3 6 2 2 2" xfId="1075"/>
    <cellStyle name="40% - Accent3 6 2 3" xfId="850"/>
    <cellStyle name="40% - Accent3 6 3" xfId="493"/>
    <cellStyle name="40% - Accent3 6 3 2" xfId="948"/>
    <cellStyle name="40% - Accent3 6 4" xfId="735"/>
    <cellStyle name="40% - Accent3 7" xfId="137"/>
    <cellStyle name="40% - Accent3 7 2" xfId="409"/>
    <cellStyle name="40% - Accent3 7 2 2" xfId="634"/>
    <cellStyle name="40% - Accent3 7 2 2 2" xfId="1089"/>
    <cellStyle name="40% - Accent3 7 2 3" xfId="864"/>
    <cellStyle name="40% - Accent3 7 3" xfId="494"/>
    <cellStyle name="40% - Accent3 7 3 2" xfId="949"/>
    <cellStyle name="40% - Accent3 7 4" xfId="736"/>
    <cellStyle name="40% - Accent3 8" xfId="138"/>
    <cellStyle name="40% - Accent3 8 2" xfId="422"/>
    <cellStyle name="40% - Accent3 8 2 2" xfId="647"/>
    <cellStyle name="40% - Accent3 8 2 2 2" xfId="1102"/>
    <cellStyle name="40% - Accent3 8 2 3" xfId="877"/>
    <cellStyle name="40% - Accent3 8 3" xfId="495"/>
    <cellStyle name="40% - Accent3 8 3 2" xfId="950"/>
    <cellStyle name="40% - Accent3 8 4" xfId="737"/>
    <cellStyle name="40% - Accent3 9" xfId="139"/>
    <cellStyle name="40% - Accent4" xfId="37" builtinId="43" customBuiltin="1"/>
    <cellStyle name="40% - Accent4 10" xfId="544"/>
    <cellStyle name="40% - Accent4 10 2" xfId="999"/>
    <cellStyle name="40% - Accent4 11" xfId="666"/>
    <cellStyle name="40% - Accent4 12" xfId="1121"/>
    <cellStyle name="40% - Accent4 2" xfId="140"/>
    <cellStyle name="40% - Accent4 2 2" xfId="141"/>
    <cellStyle name="40% - Accent4 2 3" xfId="337"/>
    <cellStyle name="40% - Accent4 2 3 2" xfId="562"/>
    <cellStyle name="40% - Accent4 2 3 2 2" xfId="1017"/>
    <cellStyle name="40% - Accent4 2 3 3" xfId="792"/>
    <cellStyle name="40% - Accent4 2 4" xfId="496"/>
    <cellStyle name="40% - Accent4 2 4 2" xfId="951"/>
    <cellStyle name="40% - Accent4 2 5" xfId="738"/>
    <cellStyle name="40% - Accent4 2 6" xfId="1141"/>
    <cellStyle name="40% - Accent4 3" xfId="142"/>
    <cellStyle name="40% - Accent4 3 2" xfId="143"/>
    <cellStyle name="40% - Accent4 3 2 2" xfId="384"/>
    <cellStyle name="40% - Accent4 3 2 2 2" xfId="609"/>
    <cellStyle name="40% - Accent4 3 2 2 2 2" xfId="1064"/>
    <cellStyle name="40% - Accent4 3 2 2 3" xfId="839"/>
    <cellStyle name="40% - Accent4 3 2 3" xfId="498"/>
    <cellStyle name="40% - Accent4 3 2 3 2" xfId="953"/>
    <cellStyle name="40% - Accent4 3 2 4" xfId="740"/>
    <cellStyle name="40% - Accent4 3 3" xfId="357"/>
    <cellStyle name="40% - Accent4 3 3 2" xfId="582"/>
    <cellStyle name="40% - Accent4 3 3 2 2" xfId="1037"/>
    <cellStyle name="40% - Accent4 3 3 3" xfId="812"/>
    <cellStyle name="40% - Accent4 3 4" xfId="497"/>
    <cellStyle name="40% - Accent4 3 4 2" xfId="952"/>
    <cellStyle name="40% - Accent4 3 5" xfId="739"/>
    <cellStyle name="40% - Accent4 4" xfId="144"/>
    <cellStyle name="40% - Accent4 5" xfId="145"/>
    <cellStyle name="40% - Accent4 5 2" xfId="370"/>
    <cellStyle name="40% - Accent4 5 2 2" xfId="595"/>
    <cellStyle name="40% - Accent4 5 2 2 2" xfId="1050"/>
    <cellStyle name="40% - Accent4 5 2 3" xfId="825"/>
    <cellStyle name="40% - Accent4 5 3" xfId="499"/>
    <cellStyle name="40% - Accent4 5 3 2" xfId="954"/>
    <cellStyle name="40% - Accent4 5 4" xfId="741"/>
    <cellStyle name="40% - Accent4 6" xfId="146"/>
    <cellStyle name="40% - Accent4 6 2" xfId="397"/>
    <cellStyle name="40% - Accent4 6 2 2" xfId="622"/>
    <cellStyle name="40% - Accent4 6 2 2 2" xfId="1077"/>
    <cellStyle name="40% - Accent4 6 2 3" xfId="852"/>
    <cellStyle name="40% - Accent4 6 3" xfId="500"/>
    <cellStyle name="40% - Accent4 6 3 2" xfId="955"/>
    <cellStyle name="40% - Accent4 6 4" xfId="742"/>
    <cellStyle name="40% - Accent4 7" xfId="147"/>
    <cellStyle name="40% - Accent4 7 2" xfId="411"/>
    <cellStyle name="40% - Accent4 7 2 2" xfId="636"/>
    <cellStyle name="40% - Accent4 7 2 2 2" xfId="1091"/>
    <cellStyle name="40% - Accent4 7 2 3" xfId="866"/>
    <cellStyle name="40% - Accent4 7 3" xfId="501"/>
    <cellStyle name="40% - Accent4 7 3 2" xfId="956"/>
    <cellStyle name="40% - Accent4 7 4" xfId="743"/>
    <cellStyle name="40% - Accent4 8" xfId="148"/>
    <cellStyle name="40% - Accent4 8 2" xfId="424"/>
    <cellStyle name="40% - Accent4 8 2 2" xfId="649"/>
    <cellStyle name="40% - Accent4 8 2 2 2" xfId="1104"/>
    <cellStyle name="40% - Accent4 8 2 3" xfId="879"/>
    <cellStyle name="40% - Accent4 8 3" xfId="502"/>
    <cellStyle name="40% - Accent4 8 3 2" xfId="957"/>
    <cellStyle name="40% - Accent4 8 4" xfId="744"/>
    <cellStyle name="40% - Accent4 9" xfId="149"/>
    <cellStyle name="40% - Accent5" xfId="41" builtinId="47" customBuiltin="1"/>
    <cellStyle name="40% - Accent5 10" xfId="546"/>
    <cellStyle name="40% - Accent5 10 2" xfId="1001"/>
    <cellStyle name="40% - Accent5 11" xfId="668"/>
    <cellStyle name="40% - Accent5 12" xfId="1123"/>
    <cellStyle name="40% - Accent5 2" xfId="150"/>
    <cellStyle name="40% - Accent5 2 2" xfId="151"/>
    <cellStyle name="40% - Accent5 2 3" xfId="338"/>
    <cellStyle name="40% - Accent5 2 3 2" xfId="563"/>
    <cellStyle name="40% - Accent5 2 3 2 2" xfId="1018"/>
    <cellStyle name="40% - Accent5 2 3 3" xfId="793"/>
    <cellStyle name="40% - Accent5 2 4" xfId="503"/>
    <cellStyle name="40% - Accent5 2 4 2" xfId="958"/>
    <cellStyle name="40% - Accent5 2 5" xfId="745"/>
    <cellStyle name="40% - Accent5 2 6" xfId="1160"/>
    <cellStyle name="40% - Accent5 3" xfId="152"/>
    <cellStyle name="40% - Accent5 3 2" xfId="153"/>
    <cellStyle name="40% - Accent5 3 2 2" xfId="386"/>
    <cellStyle name="40% - Accent5 3 2 2 2" xfId="611"/>
    <cellStyle name="40% - Accent5 3 2 2 2 2" xfId="1066"/>
    <cellStyle name="40% - Accent5 3 2 2 3" xfId="841"/>
    <cellStyle name="40% - Accent5 3 2 3" xfId="505"/>
    <cellStyle name="40% - Accent5 3 2 3 2" xfId="960"/>
    <cellStyle name="40% - Accent5 3 2 4" xfId="747"/>
    <cellStyle name="40% - Accent5 3 3" xfId="359"/>
    <cellStyle name="40% - Accent5 3 3 2" xfId="584"/>
    <cellStyle name="40% - Accent5 3 3 2 2" xfId="1039"/>
    <cellStyle name="40% - Accent5 3 3 3" xfId="814"/>
    <cellStyle name="40% - Accent5 3 4" xfId="504"/>
    <cellStyle name="40% - Accent5 3 4 2" xfId="959"/>
    <cellStyle name="40% - Accent5 3 5" xfId="746"/>
    <cellStyle name="40% - Accent5 4" xfId="154"/>
    <cellStyle name="40% - Accent5 5" xfId="155"/>
    <cellStyle name="40% - Accent5 5 2" xfId="372"/>
    <cellStyle name="40% - Accent5 5 2 2" xfId="597"/>
    <cellStyle name="40% - Accent5 5 2 2 2" xfId="1052"/>
    <cellStyle name="40% - Accent5 5 2 3" xfId="827"/>
    <cellStyle name="40% - Accent5 5 3" xfId="506"/>
    <cellStyle name="40% - Accent5 5 3 2" xfId="961"/>
    <cellStyle name="40% - Accent5 5 4" xfId="748"/>
    <cellStyle name="40% - Accent5 6" xfId="156"/>
    <cellStyle name="40% - Accent5 6 2" xfId="399"/>
    <cellStyle name="40% - Accent5 6 2 2" xfId="624"/>
    <cellStyle name="40% - Accent5 6 2 2 2" xfId="1079"/>
    <cellStyle name="40% - Accent5 6 2 3" xfId="854"/>
    <cellStyle name="40% - Accent5 6 3" xfId="507"/>
    <cellStyle name="40% - Accent5 6 3 2" xfId="962"/>
    <cellStyle name="40% - Accent5 6 4" xfId="749"/>
    <cellStyle name="40% - Accent5 7" xfId="157"/>
    <cellStyle name="40% - Accent5 7 2" xfId="413"/>
    <cellStyle name="40% - Accent5 7 2 2" xfId="638"/>
    <cellStyle name="40% - Accent5 7 2 2 2" xfId="1093"/>
    <cellStyle name="40% - Accent5 7 2 3" xfId="868"/>
    <cellStyle name="40% - Accent5 7 3" xfId="508"/>
    <cellStyle name="40% - Accent5 7 3 2" xfId="963"/>
    <cellStyle name="40% - Accent5 7 4" xfId="750"/>
    <cellStyle name="40% - Accent5 8" xfId="158"/>
    <cellStyle name="40% - Accent5 8 2" xfId="426"/>
    <cellStyle name="40% - Accent5 8 2 2" xfId="651"/>
    <cellStyle name="40% - Accent5 8 2 2 2" xfId="1106"/>
    <cellStyle name="40% - Accent5 8 2 3" xfId="881"/>
    <cellStyle name="40% - Accent5 8 3" xfId="509"/>
    <cellStyle name="40% - Accent5 8 3 2" xfId="964"/>
    <cellStyle name="40% - Accent5 8 4" xfId="751"/>
    <cellStyle name="40% - Accent5 9" xfId="159"/>
    <cellStyle name="40% - Accent6" xfId="45" builtinId="51" customBuiltin="1"/>
    <cellStyle name="40% - Accent6 10" xfId="548"/>
    <cellStyle name="40% - Accent6 10 2" xfId="1003"/>
    <cellStyle name="40% - Accent6 11" xfId="670"/>
    <cellStyle name="40% - Accent6 12" xfId="1125"/>
    <cellStyle name="40% - Accent6 2" xfId="160"/>
    <cellStyle name="40% - Accent6 2 2" xfId="161"/>
    <cellStyle name="40% - Accent6 2 3" xfId="339"/>
    <cellStyle name="40% - Accent6 2 3 2" xfId="564"/>
    <cellStyle name="40% - Accent6 2 3 2 2" xfId="1019"/>
    <cellStyle name="40% - Accent6 2 3 3" xfId="794"/>
    <cellStyle name="40% - Accent6 2 4" xfId="510"/>
    <cellStyle name="40% - Accent6 2 4 2" xfId="965"/>
    <cellStyle name="40% - Accent6 2 5" xfId="752"/>
    <cellStyle name="40% - Accent6 2 6" xfId="1134"/>
    <cellStyle name="40% - Accent6 3" xfId="162"/>
    <cellStyle name="40% - Accent6 3 2" xfId="163"/>
    <cellStyle name="40% - Accent6 3 2 2" xfId="388"/>
    <cellStyle name="40% - Accent6 3 2 2 2" xfId="613"/>
    <cellStyle name="40% - Accent6 3 2 2 2 2" xfId="1068"/>
    <cellStyle name="40% - Accent6 3 2 2 3" xfId="843"/>
    <cellStyle name="40% - Accent6 3 2 3" xfId="512"/>
    <cellStyle name="40% - Accent6 3 2 3 2" xfId="967"/>
    <cellStyle name="40% - Accent6 3 2 4" xfId="754"/>
    <cellStyle name="40% - Accent6 3 3" xfId="361"/>
    <cellStyle name="40% - Accent6 3 3 2" xfId="586"/>
    <cellStyle name="40% - Accent6 3 3 2 2" xfId="1041"/>
    <cellStyle name="40% - Accent6 3 3 3" xfId="816"/>
    <cellStyle name="40% - Accent6 3 4" xfId="511"/>
    <cellStyle name="40% - Accent6 3 4 2" xfId="966"/>
    <cellStyle name="40% - Accent6 3 5" xfId="753"/>
    <cellStyle name="40% - Accent6 4" xfId="164"/>
    <cellStyle name="40% - Accent6 5" xfId="165"/>
    <cellStyle name="40% - Accent6 5 2" xfId="374"/>
    <cellStyle name="40% - Accent6 5 2 2" xfId="599"/>
    <cellStyle name="40% - Accent6 5 2 2 2" xfId="1054"/>
    <cellStyle name="40% - Accent6 5 2 3" xfId="829"/>
    <cellStyle name="40% - Accent6 5 3" xfId="513"/>
    <cellStyle name="40% - Accent6 5 3 2" xfId="968"/>
    <cellStyle name="40% - Accent6 5 4" xfId="755"/>
    <cellStyle name="40% - Accent6 6" xfId="166"/>
    <cellStyle name="40% - Accent6 6 2" xfId="401"/>
    <cellStyle name="40% - Accent6 6 2 2" xfId="626"/>
    <cellStyle name="40% - Accent6 6 2 2 2" xfId="1081"/>
    <cellStyle name="40% - Accent6 6 2 3" xfId="856"/>
    <cellStyle name="40% - Accent6 6 3" xfId="514"/>
    <cellStyle name="40% - Accent6 6 3 2" xfId="969"/>
    <cellStyle name="40% - Accent6 6 4" xfId="756"/>
    <cellStyle name="40% - Accent6 7" xfId="167"/>
    <cellStyle name="40% - Accent6 7 2" xfId="415"/>
    <cellStyle name="40% - Accent6 7 2 2" xfId="640"/>
    <cellStyle name="40% - Accent6 7 2 2 2" xfId="1095"/>
    <cellStyle name="40% - Accent6 7 2 3" xfId="870"/>
    <cellStyle name="40% - Accent6 7 3" xfId="515"/>
    <cellStyle name="40% - Accent6 7 3 2" xfId="970"/>
    <cellStyle name="40% - Accent6 7 4" xfId="757"/>
    <cellStyle name="40% - Accent6 8" xfId="168"/>
    <cellStyle name="40% - Accent6 8 2" xfId="428"/>
    <cellStyle name="40% - Accent6 8 2 2" xfId="653"/>
    <cellStyle name="40% - Accent6 8 2 2 2" xfId="1108"/>
    <cellStyle name="40% - Accent6 8 2 3" xfId="883"/>
    <cellStyle name="40% - Accent6 8 3" xfId="516"/>
    <cellStyle name="40% - Accent6 8 3 2" xfId="971"/>
    <cellStyle name="40% - Accent6 8 4" xfId="758"/>
    <cellStyle name="40% - Accent6 9" xfId="169"/>
    <cellStyle name="60% - Accent1" xfId="26" builtinId="32" customBuiltin="1"/>
    <cellStyle name="60% - Accent1 2" xfId="170"/>
    <cellStyle name="60% - Accent1 2 2" xfId="1165"/>
    <cellStyle name="60% - Accent1 3" xfId="171"/>
    <cellStyle name="60% - Accent1 4" xfId="172"/>
    <cellStyle name="60% - Accent1 5" xfId="173"/>
    <cellStyle name="60% - Accent2" xfId="30" builtinId="36" customBuiltin="1"/>
    <cellStyle name="60% - Accent2 2" xfId="174"/>
    <cellStyle name="60% - Accent2 2 2" xfId="1158"/>
    <cellStyle name="60% - Accent2 3" xfId="175"/>
    <cellStyle name="60% - Accent2 4" xfId="176"/>
    <cellStyle name="60% - Accent2 5" xfId="177"/>
    <cellStyle name="60% - Accent3" xfId="34" builtinId="40" customBuiltin="1"/>
    <cellStyle name="60% - Accent3 2" xfId="178"/>
    <cellStyle name="60% - Accent3 2 2" xfId="1163"/>
    <cellStyle name="60% - Accent3 3" xfId="179"/>
    <cellStyle name="60% - Accent3 4" xfId="180"/>
    <cellStyle name="60% - Accent3 5" xfId="181"/>
    <cellStyle name="60% - Accent4" xfId="38" builtinId="44" customBuiltin="1"/>
    <cellStyle name="60% - Accent4 2" xfId="182"/>
    <cellStyle name="60% - Accent4 2 2" xfId="1135"/>
    <cellStyle name="60% - Accent4 3" xfId="183"/>
    <cellStyle name="60% - Accent4 4" xfId="184"/>
    <cellStyle name="60% - Accent4 5" xfId="185"/>
    <cellStyle name="60% - Accent5" xfId="42" builtinId="48" customBuiltin="1"/>
    <cellStyle name="60% - Accent5 2" xfId="186"/>
    <cellStyle name="60% - Accent5 2 2" xfId="1147"/>
    <cellStyle name="60% - Accent5 3" xfId="187"/>
    <cellStyle name="60% - Accent5 4" xfId="188"/>
    <cellStyle name="60% - Accent5 5" xfId="189"/>
    <cellStyle name="60% - Accent6" xfId="8" builtinId="52" customBuiltin="1"/>
    <cellStyle name="60% - Accent6 2" xfId="190"/>
    <cellStyle name="60% - Accent6 2 2" xfId="1149"/>
    <cellStyle name="60% - Accent6 3" xfId="191"/>
    <cellStyle name="60% - Accent6 4" xfId="192"/>
    <cellStyle name="60% - Accent6 5" xfId="193"/>
    <cellStyle name="Accent1" xfId="23" builtinId="29" customBuiltin="1"/>
    <cellStyle name="Accent1 2" xfId="194"/>
    <cellStyle name="Accent1 2 2" xfId="1155"/>
    <cellStyle name="Accent1 3" xfId="195"/>
    <cellStyle name="Accent1 4" xfId="196"/>
    <cellStyle name="Accent1 5" xfId="197"/>
    <cellStyle name="Accent2" xfId="27" builtinId="33" customBuiltin="1"/>
    <cellStyle name="Accent2 2" xfId="198"/>
    <cellStyle name="Accent2 2 2" xfId="1137"/>
    <cellStyle name="Accent2 3" xfId="199"/>
    <cellStyle name="Accent2 4" xfId="200"/>
    <cellStyle name="Accent2 5" xfId="201"/>
    <cellStyle name="Accent3" xfId="31" builtinId="37" customBuiltin="1"/>
    <cellStyle name="Accent3 2" xfId="202"/>
    <cellStyle name="Accent3 2 2" xfId="1151"/>
    <cellStyle name="Accent3 3" xfId="203"/>
    <cellStyle name="Accent3 4" xfId="204"/>
    <cellStyle name="Accent3 5" xfId="205"/>
    <cellStyle name="Accent4" xfId="35" builtinId="41" customBuiltin="1"/>
    <cellStyle name="Accent4 2" xfId="206"/>
    <cellStyle name="Accent4 2 2" xfId="1144"/>
    <cellStyle name="Accent4 3" xfId="207"/>
    <cellStyle name="Accent4 4" xfId="208"/>
    <cellStyle name="Accent4 5" xfId="209"/>
    <cellStyle name="Accent5" xfId="39" builtinId="45" customBuiltin="1"/>
    <cellStyle name="Accent5 2" xfId="210"/>
    <cellStyle name="Accent5 2 2" xfId="1138"/>
    <cellStyle name="Accent5 3" xfId="211"/>
    <cellStyle name="Accent5 4" xfId="212"/>
    <cellStyle name="Accent5 5" xfId="213"/>
    <cellStyle name="Accent6" xfId="43" builtinId="49" customBuiltin="1"/>
    <cellStyle name="Accent6 2" xfId="214"/>
    <cellStyle name="Accent6 2 2" xfId="1157"/>
    <cellStyle name="Accent6 3" xfId="215"/>
    <cellStyle name="Accent6 4" xfId="216"/>
    <cellStyle name="Accent6 5" xfId="217"/>
    <cellStyle name="Bad" xfId="4" builtinId="27" customBuiltin="1"/>
    <cellStyle name="Berekening 2" xfId="218"/>
    <cellStyle name="Berekening 2 2" xfId="1139"/>
    <cellStyle name="Berekening 3" xfId="219"/>
    <cellStyle name="Berekening 4" xfId="220"/>
    <cellStyle name="Berekening 5" xfId="221"/>
    <cellStyle name="Calculation" xfId="7" builtinId="22" customBuiltin="1"/>
    <cellStyle name="Cast" xfId="1148"/>
    <cellStyle name="Check Cell" xfId="19" builtinId="23" customBuiltin="1"/>
    <cellStyle name="Comma" xfId="11" builtinId="3"/>
    <cellStyle name="Comma 2" xfId="1146"/>
    <cellStyle name="Comma 3" xfId="1159"/>
    <cellStyle name="Comma 4" xfId="1140"/>
    <cellStyle name="Comma 5" xfId="1162"/>
    <cellStyle name="Controlecel 2" xfId="222"/>
    <cellStyle name="Controlecel 2 2" xfId="1145"/>
    <cellStyle name="Controlecel 3" xfId="223"/>
    <cellStyle name="Controlecel 4" xfId="224"/>
    <cellStyle name="Controlecel 5" xfId="225"/>
    <cellStyle name="Euro" xfId="1166"/>
    <cellStyle name="Explanatory Text" xfId="21" builtinId="53" customBuiltin="1"/>
    <cellStyle name="Gekoppelde cel 2" xfId="226"/>
    <cellStyle name="Gekoppelde cel 2 2" xfId="1167"/>
    <cellStyle name="Gekoppelde cel 3" xfId="227"/>
    <cellStyle name="Gekoppelde cel 4" xfId="228"/>
    <cellStyle name="Gekoppelde cel 5" xfId="229"/>
    <cellStyle name="Goed 2" xfId="230"/>
    <cellStyle name="Goed 2 2" xfId="1168"/>
    <cellStyle name="Goed 3" xfId="231"/>
    <cellStyle name="Goed 4" xfId="232"/>
    <cellStyle name="Goed 5" xfId="233"/>
    <cellStyle name="Good" xfId="3" builtinId="26" customBuiltin="1"/>
    <cellStyle name="Heading 1" xfId="14" builtinId="16" customBuiltin="1"/>
    <cellStyle name="Heading 2" xfId="2" builtinId="17" customBuiltin="1"/>
    <cellStyle name="Heading 3" xfId="15" builtinId="18" customBuiltin="1"/>
    <cellStyle name="Heading 4" xfId="16" builtinId="19" customBuiltin="1"/>
    <cellStyle name="Hyperlink 2" xfId="1169"/>
    <cellStyle name="Input" xfId="6" builtinId="20" customBuiltin="1"/>
    <cellStyle name="Invoer 2" xfId="234"/>
    <cellStyle name="Invoer 2 2" xfId="1170"/>
    <cellStyle name="Invoer 3" xfId="235"/>
    <cellStyle name="Invoer 4" xfId="236"/>
    <cellStyle name="Invoer 5" xfId="237"/>
    <cellStyle name="Komma 2" xfId="238"/>
    <cellStyle name="Komma 2 2" xfId="239"/>
    <cellStyle name="Komma 2 2 2" xfId="240"/>
    <cellStyle name="Komma 3" xfId="241"/>
    <cellStyle name="Komma 3 2" xfId="242"/>
    <cellStyle name="Komma 3 3" xfId="243"/>
    <cellStyle name="Komma 3 4" xfId="340"/>
    <cellStyle name="Komma 3 4 2" xfId="565"/>
    <cellStyle name="Komma 3 4 2 2" xfId="1020"/>
    <cellStyle name="Komma 3 4 3" xfId="795"/>
    <cellStyle name="Komma 3 5" xfId="517"/>
    <cellStyle name="Komma 3 5 2" xfId="972"/>
    <cellStyle name="Komma 3 6" xfId="759"/>
    <cellStyle name="Komma 3 7" xfId="1171"/>
    <cellStyle name="Komma 4" xfId="244"/>
    <cellStyle name="Komma 4 2" xfId="245"/>
    <cellStyle name="Komma 4 3" xfId="246"/>
    <cellStyle name="Komma 4 4" xfId="326"/>
    <cellStyle name="Komma 4 4 2" xfId="551"/>
    <cellStyle name="Komma 4 4 2 2" xfId="1006"/>
    <cellStyle name="Komma 4 4 3" xfId="781"/>
    <cellStyle name="Komma 4 5" xfId="518"/>
    <cellStyle name="Komma 4 5 2" xfId="973"/>
    <cellStyle name="Komma 4 6" xfId="760"/>
    <cellStyle name="Komma 4 7" xfId="1156"/>
    <cellStyle name="Komma 6" xfId="247"/>
    <cellStyle name="Komma 6 2" xfId="429"/>
    <cellStyle name="Komma 6 2 2" xfId="654"/>
    <cellStyle name="Komma 6 2 2 2" xfId="1109"/>
    <cellStyle name="Komma 6 2 3" xfId="884"/>
    <cellStyle name="Komma 6 3" xfId="519"/>
    <cellStyle name="Komma 6 3 2" xfId="974"/>
    <cellStyle name="Komma 6 4" xfId="761"/>
    <cellStyle name="Komma0 - Opmaakprofiel2" xfId="1172"/>
    <cellStyle name="Komma0 - Opmaakprofiel3" xfId="1173"/>
    <cellStyle name="Komma1 - Opmaakprofiel1" xfId="1174"/>
    <cellStyle name="Kop 1 2" xfId="248"/>
    <cellStyle name="Kop 1 2 2" xfId="1175"/>
    <cellStyle name="Kop 1 3" xfId="249"/>
    <cellStyle name="Kop 1 4" xfId="250"/>
    <cellStyle name="Kop 1 5" xfId="251"/>
    <cellStyle name="Kop 2 2" xfId="252"/>
    <cellStyle name="Kop 2 2 2" xfId="1176"/>
    <cellStyle name="Kop 2 3" xfId="253"/>
    <cellStyle name="Kop 2 4" xfId="254"/>
    <cellStyle name="Kop 2 5" xfId="255"/>
    <cellStyle name="Kop 3 2" xfId="256"/>
    <cellStyle name="Kop 3 2 2" xfId="1177"/>
    <cellStyle name="Kop 3 3" xfId="257"/>
    <cellStyle name="Kop 3 4" xfId="258"/>
    <cellStyle name="Kop 3 5" xfId="259"/>
    <cellStyle name="Kop 4 2" xfId="260"/>
    <cellStyle name="Kop 4 2 2" xfId="1178"/>
    <cellStyle name="Kop 4 3" xfId="261"/>
    <cellStyle name="Kop 4 4" xfId="262"/>
    <cellStyle name="Kop 4 5" xfId="263"/>
    <cellStyle name="Label" xfId="1179"/>
    <cellStyle name="Linked Cell" xfId="18" builtinId="24" customBuiltin="1"/>
    <cellStyle name="Neutraal 2" xfId="264"/>
    <cellStyle name="Neutraal 2 2" xfId="1180"/>
    <cellStyle name="Neutraal 3" xfId="265"/>
    <cellStyle name="Neutraal 4" xfId="266"/>
    <cellStyle name="Neutraal 5" xfId="267"/>
    <cellStyle name="Neutral" xfId="5" builtinId="28" customBuiltin="1"/>
    <cellStyle name="Normal" xfId="0" builtinId="0"/>
    <cellStyle name="Normal 2" xfId="1"/>
    <cellStyle name="Normal 2 2" xfId="49"/>
    <cellStyle name="Normal 2 2 2" xfId="431"/>
    <cellStyle name="Normal 2 2 2 2" xfId="886"/>
    <cellStyle name="Normal 2 2 3" xfId="674"/>
    <cellStyle name="Normal 2 3" xfId="48"/>
    <cellStyle name="Normal 2 3 2" xfId="673"/>
    <cellStyle name="Normal 2 4" xfId="430"/>
    <cellStyle name="Normal 2 4 2" xfId="885"/>
    <cellStyle name="Normal 2 5" xfId="46"/>
    <cellStyle name="Normal 2 5 2" xfId="671"/>
    <cellStyle name="Normal 2 6" xfId="656"/>
    <cellStyle name="Normal 2 7" xfId="1181"/>
    <cellStyle name="Normal 3" xfId="1182"/>
    <cellStyle name="Normal 3 2" xfId="1183"/>
    <cellStyle name="Notitie 10" xfId="325"/>
    <cellStyle name="Notitie 10 2" xfId="550"/>
    <cellStyle name="Notitie 10 2 2" xfId="1005"/>
    <cellStyle name="Notitie 10 3" xfId="780"/>
    <cellStyle name="Notitie 11" xfId="1113"/>
    <cellStyle name="Notitie 2" xfId="268"/>
    <cellStyle name="Notitie 2 2" xfId="269"/>
    <cellStyle name="Notitie 2 3" xfId="341"/>
    <cellStyle name="Notitie 2 3 2" xfId="566"/>
    <cellStyle name="Notitie 2 3 2 2" xfId="1021"/>
    <cellStyle name="Notitie 2 3 3" xfId="796"/>
    <cellStyle name="Notitie 2 4" xfId="520"/>
    <cellStyle name="Notitie 2 4 2" xfId="975"/>
    <cellStyle name="Notitie 2 5" xfId="762"/>
    <cellStyle name="Notitie 2 6" xfId="1184"/>
    <cellStyle name="Notitie 3" xfId="270"/>
    <cellStyle name="Notitie 3 2" xfId="271"/>
    <cellStyle name="Notitie 3 2 2" xfId="376"/>
    <cellStyle name="Notitie 3 2 2 2" xfId="601"/>
    <cellStyle name="Notitie 3 2 2 2 2" xfId="1056"/>
    <cellStyle name="Notitie 3 2 2 3" xfId="831"/>
    <cellStyle name="Notitie 3 2 3" xfId="522"/>
    <cellStyle name="Notitie 3 2 3 2" xfId="977"/>
    <cellStyle name="Notitie 3 2 4" xfId="764"/>
    <cellStyle name="Notitie 3 3" xfId="342"/>
    <cellStyle name="Notitie 3 3 2" xfId="567"/>
    <cellStyle name="Notitie 3 3 2 2" xfId="1022"/>
    <cellStyle name="Notitie 3 3 3" xfId="797"/>
    <cellStyle name="Notitie 3 4" xfId="521"/>
    <cellStyle name="Notitie 3 4 2" xfId="976"/>
    <cellStyle name="Notitie 3 5" xfId="763"/>
    <cellStyle name="Notitie 4" xfId="272"/>
    <cellStyle name="Notitie 5" xfId="273"/>
    <cellStyle name="Notitie 5 2" xfId="362"/>
    <cellStyle name="Notitie 5 2 2" xfId="587"/>
    <cellStyle name="Notitie 5 2 2 2" xfId="1042"/>
    <cellStyle name="Notitie 5 2 3" xfId="817"/>
    <cellStyle name="Notitie 5 3" xfId="523"/>
    <cellStyle name="Notitie 5 3 2" xfId="978"/>
    <cellStyle name="Notitie 5 4" xfId="765"/>
    <cellStyle name="Notitie 6" xfId="274"/>
    <cellStyle name="Notitie 6 2" xfId="389"/>
    <cellStyle name="Notitie 6 2 2" xfId="614"/>
    <cellStyle name="Notitie 6 2 2 2" xfId="1069"/>
    <cellStyle name="Notitie 6 2 3" xfId="844"/>
    <cellStyle name="Notitie 6 3" xfId="524"/>
    <cellStyle name="Notitie 6 3 2" xfId="979"/>
    <cellStyle name="Notitie 6 4" xfId="766"/>
    <cellStyle name="Notitie 7" xfId="275"/>
    <cellStyle name="Notitie 7 2" xfId="403"/>
    <cellStyle name="Notitie 7 2 2" xfId="628"/>
    <cellStyle name="Notitie 7 2 2 2" xfId="1083"/>
    <cellStyle name="Notitie 7 2 3" xfId="858"/>
    <cellStyle name="Notitie 7 3" xfId="525"/>
    <cellStyle name="Notitie 7 3 2" xfId="980"/>
    <cellStyle name="Notitie 7 4" xfId="767"/>
    <cellStyle name="Notitie 8" xfId="276"/>
    <cellStyle name="Notitie 8 2" xfId="416"/>
    <cellStyle name="Notitie 8 2 2" xfId="641"/>
    <cellStyle name="Notitie 8 2 2 2" xfId="1096"/>
    <cellStyle name="Notitie 8 2 3" xfId="871"/>
    <cellStyle name="Notitie 8 3" xfId="526"/>
    <cellStyle name="Notitie 8 3 2" xfId="981"/>
    <cellStyle name="Notitie 8 4" xfId="768"/>
    <cellStyle name="Notitie 9" xfId="277"/>
    <cellStyle name="Ongeldig 2" xfId="278"/>
    <cellStyle name="Ongeldig 2 2" xfId="1185"/>
    <cellStyle name="Ongeldig 3" xfId="279"/>
    <cellStyle name="Ongeldig 4" xfId="280"/>
    <cellStyle name="Ongeldig 5" xfId="281"/>
    <cellStyle name="Output" xfId="17" builtinId="21" customBuiltin="1"/>
    <cellStyle name="Percent" xfId="12" builtinId="5"/>
    <cellStyle name="Percent 2" xfId="1186"/>
    <cellStyle name="Percent 2 2" xfId="1187"/>
    <cellStyle name="Percent 3" xfId="1188"/>
    <cellStyle name="Procent 2" xfId="282"/>
    <cellStyle name="Procent 2 2" xfId="283"/>
    <cellStyle name="Procent 3" xfId="284"/>
    <cellStyle name="Procent 3 2" xfId="285"/>
    <cellStyle name="Procent 3 3" xfId="343"/>
    <cellStyle name="Procent 3 3 2" xfId="568"/>
    <cellStyle name="Procent 3 3 2 2" xfId="1023"/>
    <cellStyle name="Procent 3 3 3" xfId="798"/>
    <cellStyle name="Procent 3 4" xfId="527"/>
    <cellStyle name="Procent 3 4 2" xfId="982"/>
    <cellStyle name="Procent 3 5" xfId="769"/>
    <cellStyle name="Procent 3 6" xfId="1189"/>
    <cellStyle name="Procent 4" xfId="286"/>
    <cellStyle name="Procent 5" xfId="1112"/>
    <cellStyle name="Standaard 10" xfId="287"/>
    <cellStyle name="Standaard 10 2" xfId="344"/>
    <cellStyle name="Standaard 10 2 2" xfId="569"/>
    <cellStyle name="Standaard 10 2 2 2" xfId="1024"/>
    <cellStyle name="Standaard 10 2 3" xfId="799"/>
    <cellStyle name="Standaard 10 3" xfId="528"/>
    <cellStyle name="Standaard 10 3 2" xfId="983"/>
    <cellStyle name="Standaard 10 4" xfId="770"/>
    <cellStyle name="Standaard 11" xfId="324"/>
    <cellStyle name="Standaard 11 2" xfId="9"/>
    <cellStyle name="Standaard 11 2 2" xfId="549"/>
    <cellStyle name="Standaard 11 2 2 2" xfId="1004"/>
    <cellStyle name="Standaard 11 2 3" xfId="657"/>
    <cellStyle name="Standaard 11 3" xfId="779"/>
    <cellStyle name="Standaard 12" xfId="655"/>
    <cellStyle name="Standaard 12 2" xfId="1110"/>
    <cellStyle name="Standaard 13" xfId="1111"/>
    <cellStyle name="Standaard 2" xfId="10"/>
    <cellStyle name="Standaard 2 2" xfId="288"/>
    <cellStyle name="Standaard 2 2 2" xfId="289"/>
    <cellStyle name="Standaard 2 2 2 2" xfId="1150"/>
    <cellStyle name="Standaard 2 2 3" xfId="1128"/>
    <cellStyle name="Standaard 2 3" xfId="290"/>
    <cellStyle name="Standaard 2 3 2" xfId="1190"/>
    <cellStyle name="Standaard 2 4" xfId="432"/>
    <cellStyle name="Standaard 2 4 2" xfId="887"/>
    <cellStyle name="Standaard 2 4 3" xfId="1131"/>
    <cellStyle name="Standaard 2 5" xfId="47"/>
    <cellStyle name="Standaard 2 5 2" xfId="672"/>
    <cellStyle name="Standaard 2 6" xfId="658"/>
    <cellStyle name="Standaard 2 7" xfId="1127"/>
    <cellStyle name="Standaard 3" xfId="291"/>
    <cellStyle name="Standaard 3 2" xfId="292"/>
    <cellStyle name="Standaard 3 2 2" xfId="375"/>
    <cellStyle name="Standaard 3 2 2 2" xfId="600"/>
    <cellStyle name="Standaard 3 2 2 2 2" xfId="1055"/>
    <cellStyle name="Standaard 3 2 2 3" xfId="830"/>
    <cellStyle name="Standaard 3 2 3" xfId="529"/>
    <cellStyle name="Standaard 3 2 3 2" xfId="984"/>
    <cellStyle name="Standaard 3 2 4" xfId="771"/>
    <cellStyle name="Standaard 3 3" xfId="293"/>
    <cellStyle name="Standaard 3 3 2" xfId="349"/>
    <cellStyle name="Standaard 3 3 2 2" xfId="574"/>
    <cellStyle name="Standaard 3 3 2 2 2" xfId="1029"/>
    <cellStyle name="Standaard 3 3 2 3" xfId="804"/>
    <cellStyle name="Standaard 3 3 3" xfId="530"/>
    <cellStyle name="Standaard 3 3 3 2" xfId="985"/>
    <cellStyle name="Standaard 3 3 4" xfId="772"/>
    <cellStyle name="Standaard 3 4" xfId="294"/>
    <cellStyle name="Standaard 4" xfId="295"/>
    <cellStyle name="Standaard 4 2" xfId="296"/>
    <cellStyle name="Standaard 4 2 2" xfId="1126"/>
    <cellStyle name="Standaard 5" xfId="297"/>
    <cellStyle name="Standaard 5 2" xfId="298"/>
    <cellStyle name="Standaard 5 3" xfId="345"/>
    <cellStyle name="Standaard 5 3 2" xfId="570"/>
    <cellStyle name="Standaard 5 3 2 2" xfId="1025"/>
    <cellStyle name="Standaard 5 3 3" xfId="800"/>
    <cellStyle name="Standaard 5 4" xfId="531"/>
    <cellStyle name="Standaard 5 4 2" xfId="986"/>
    <cellStyle name="Standaard 5 5" xfId="773"/>
    <cellStyle name="Standaard 5 6" xfId="1191"/>
    <cellStyle name="Standaard 6" xfId="299"/>
    <cellStyle name="Standaard 6 2" xfId="346"/>
    <cellStyle name="Standaard 6 2 2" xfId="571"/>
    <cellStyle name="Standaard 6 2 2 2" xfId="1026"/>
    <cellStyle name="Standaard 6 2 3" xfId="801"/>
    <cellStyle name="Standaard 6 3" xfId="532"/>
    <cellStyle name="Standaard 6 3 2" xfId="987"/>
    <cellStyle name="Standaard 6 4" xfId="774"/>
    <cellStyle name="Standaard 6 5" xfId="1192"/>
    <cellStyle name="Standaard 7" xfId="300"/>
    <cellStyle name="Standaard 7 2" xfId="301"/>
    <cellStyle name="Standaard 7 2 2" xfId="402"/>
    <cellStyle name="Standaard 7 2 2 2" xfId="627"/>
    <cellStyle name="Standaard 7 2 2 2 2" xfId="1082"/>
    <cellStyle name="Standaard 7 2 2 3" xfId="857"/>
    <cellStyle name="Standaard 7 2 3" xfId="533"/>
    <cellStyle name="Standaard 7 2 3 2" xfId="988"/>
    <cellStyle name="Standaard 7 2 4" xfId="775"/>
    <cellStyle name="Standaard 7 3" xfId="1193"/>
    <cellStyle name="Standaard 8" xfId="302"/>
    <cellStyle name="Standaard 8 2" xfId="347"/>
    <cellStyle name="Standaard 8 2 2" xfId="572"/>
    <cellStyle name="Standaard 8 2 2 2" xfId="1027"/>
    <cellStyle name="Standaard 8 2 3" xfId="802"/>
    <cellStyle name="Standaard 8 3" xfId="534"/>
    <cellStyle name="Standaard 8 3 2" xfId="989"/>
    <cellStyle name="Standaard 8 4" xfId="776"/>
    <cellStyle name="Standaard 8 5" xfId="1194"/>
    <cellStyle name="Standaard 9" xfId="303"/>
    <cellStyle name="Standaard 9 2" xfId="304"/>
    <cellStyle name="Standaard 9 3" xfId="348"/>
    <cellStyle name="Standaard 9 3 2" xfId="573"/>
    <cellStyle name="Standaard 9 3 2 2" xfId="1028"/>
    <cellStyle name="Standaard 9 3 3" xfId="803"/>
    <cellStyle name="Standaard 9 4" xfId="535"/>
    <cellStyle name="Standaard 9 4 2" xfId="990"/>
    <cellStyle name="Standaard 9 5" xfId="777"/>
    <cellStyle name="Titel 2" xfId="305"/>
    <cellStyle name="Titel 2 2" xfId="1195"/>
    <cellStyle name="Title" xfId="13" builtinId="15" customBuiltin="1"/>
    <cellStyle name="Totaal 2" xfId="306"/>
    <cellStyle name="Totaal 2 2" xfId="1196"/>
    <cellStyle name="Totaal 3" xfId="307"/>
    <cellStyle name="Totaal 4" xfId="308"/>
    <cellStyle name="Totaal 5" xfId="309"/>
    <cellStyle name="Total" xfId="22" builtinId="25" customBuiltin="1"/>
    <cellStyle name="Uitvoer 2" xfId="310"/>
    <cellStyle name="Uitvoer 2 2" xfId="1197"/>
    <cellStyle name="Uitvoer 3" xfId="311"/>
    <cellStyle name="Uitvoer 4" xfId="312"/>
    <cellStyle name="Uitvoer 5" xfId="313"/>
    <cellStyle name="Valuta 2" xfId="314"/>
    <cellStyle name="Valuta 2 2" xfId="1198"/>
    <cellStyle name="Valuta 3" xfId="315"/>
    <cellStyle name="Valuta 3 2" xfId="327"/>
    <cellStyle name="Valuta 3 2 2" xfId="552"/>
    <cellStyle name="Valuta 3 2 2 2" xfId="1007"/>
    <cellStyle name="Valuta 3 2 3" xfId="782"/>
    <cellStyle name="Valuta 3 3" xfId="536"/>
    <cellStyle name="Valuta 3 3 2" xfId="991"/>
    <cellStyle name="Valuta 3 4" xfId="778"/>
    <cellStyle name="Valuta 3 5" xfId="1199"/>
    <cellStyle name="Verklarende tekst 2" xfId="316"/>
    <cellStyle name="Verklarende tekst 2 2" xfId="1200"/>
    <cellStyle name="Verklarende tekst 3" xfId="317"/>
    <cellStyle name="Verklarende tekst 4" xfId="318"/>
    <cellStyle name="Verklarende tekst 5" xfId="319"/>
    <cellStyle name="Waarschuwingstekst 2" xfId="320"/>
    <cellStyle name="Waarschuwingstekst 2 2" xfId="1201"/>
    <cellStyle name="Waarschuwingstekst 3" xfId="321"/>
    <cellStyle name="Waarschuwingstekst 4" xfId="322"/>
    <cellStyle name="Waarschuwingstekst 5" xfId="323"/>
    <cellStyle name="Warning Text" xfId="20" builtinId="11" customBuiltin="1"/>
  </cellStyles>
  <dxfs count="143"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 patternType="solid">
          <fgColor rgb="FFFFC7CE"/>
          <bgColor rgb="FF000000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microsoft.com/office/2006/relationships/vbaProject" Target="vbaProject.bin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26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16" Type="http://schemas.openxmlformats.org/officeDocument/2006/relationships/worksheet" Target="worksheets/sheet116.xml"/><Relationship Id="rId124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11" Type="http://schemas.openxmlformats.org/officeDocument/2006/relationships/worksheet" Target="worksheets/sheet11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127" Type="http://schemas.openxmlformats.org/officeDocument/2006/relationships/calcChain" Target="calcChain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333373</xdr:colOff>
      <xdr:row>22</xdr:row>
      <xdr:rowOff>59529</xdr:rowOff>
    </xdr:from>
    <xdr:to>
      <xdr:col>2</xdr:col>
      <xdr:colOff>133348</xdr:colOff>
      <xdr:row>25</xdr:row>
      <xdr:rowOff>2378</xdr:rowOff>
    </xdr:to>
    <xdr:sp macro="[0]!VullenPersonen" textlink="">
      <xdr:nvSpPr>
        <xdr:cNvPr id="6" name="Afgeronde rechthoek 5"/>
        <xdr:cNvSpPr/>
      </xdr:nvSpPr>
      <xdr:spPr>
        <a:xfrm>
          <a:off x="1309686" y="4536279"/>
          <a:ext cx="1085850" cy="550068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nl-NL" sz="1200" b="1"/>
            <a:t>Vullen</a:t>
          </a:r>
          <a:r>
            <a:rPr lang="nl-NL" sz="1200" b="1" baseline="0"/>
            <a:t> deelnemers</a:t>
          </a:r>
          <a:endParaRPr lang="nl-NL" sz="1200" b="1"/>
        </a:p>
      </xdr:txBody>
    </xdr:sp>
    <xdr:clientData/>
  </xdr:twoCellAnchor>
  <xdr:twoCellAnchor>
    <xdr:from>
      <xdr:col>0</xdr:col>
      <xdr:colOff>83345</xdr:colOff>
      <xdr:row>8</xdr:row>
      <xdr:rowOff>83347</xdr:rowOff>
    </xdr:from>
    <xdr:to>
      <xdr:col>1</xdr:col>
      <xdr:colOff>192882</xdr:colOff>
      <xdr:row>11</xdr:row>
      <xdr:rowOff>25402</xdr:rowOff>
    </xdr:to>
    <xdr:sp macro="[0]!VoerConfrontatieUit" textlink="">
      <xdr:nvSpPr>
        <xdr:cNvPr id="8" name="Afgeronde rechthoek 7"/>
        <xdr:cNvSpPr/>
      </xdr:nvSpPr>
      <xdr:spPr>
        <a:xfrm>
          <a:off x="83345" y="1714503"/>
          <a:ext cx="1085850" cy="549274"/>
        </a:xfrm>
        <a:prstGeom prst="roundRect">
          <a:avLst/>
        </a:prstGeom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nl-NL" sz="1200" b="1"/>
            <a:t>Doorrekenen</a:t>
          </a:r>
        </a:p>
      </xdr:txBody>
    </xdr:sp>
    <xdr:clientData/>
  </xdr:twoCellAnchor>
  <xdr:twoCellAnchor>
    <xdr:from>
      <xdr:col>0</xdr:col>
      <xdr:colOff>83344</xdr:colOff>
      <xdr:row>22</xdr:row>
      <xdr:rowOff>59532</xdr:rowOff>
    </xdr:from>
    <xdr:to>
      <xdr:col>1</xdr:col>
      <xdr:colOff>220096</xdr:colOff>
      <xdr:row>25</xdr:row>
      <xdr:rowOff>1589</xdr:rowOff>
    </xdr:to>
    <xdr:sp macro="[0]!Bevestig_omgeving" textlink="">
      <xdr:nvSpPr>
        <xdr:cNvPr id="7" name="Afgeronde rechthoek 6"/>
        <xdr:cNvSpPr/>
      </xdr:nvSpPr>
      <xdr:spPr>
        <a:xfrm>
          <a:off x="83344" y="4536282"/>
          <a:ext cx="1113065" cy="549276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nl-NL" sz="1200" b="1"/>
            <a:t>Bevestig</a:t>
          </a:r>
          <a:r>
            <a:rPr lang="nl-NL" sz="1200" b="1" baseline="0"/>
            <a:t> omgeving</a:t>
          </a:r>
          <a:endParaRPr lang="nl-NL" sz="1200" b="1"/>
        </a:p>
      </xdr:txBody>
    </xdr:sp>
    <xdr:clientData/>
  </xdr:twoCellAnchor>
  <xdr:twoCellAnchor>
    <xdr:from>
      <xdr:col>1</xdr:col>
      <xdr:colOff>309564</xdr:colOff>
      <xdr:row>8</xdr:row>
      <xdr:rowOff>95251</xdr:rowOff>
    </xdr:from>
    <xdr:to>
      <xdr:col>2</xdr:col>
      <xdr:colOff>109539</xdr:colOff>
      <xdr:row>11</xdr:row>
      <xdr:rowOff>37306</xdr:rowOff>
    </xdr:to>
    <xdr:sp macro="[0]!DeelnemersGaNaar" textlink="">
      <xdr:nvSpPr>
        <xdr:cNvPr id="10" name="Afgeronde rechthoek 9"/>
        <xdr:cNvSpPr/>
      </xdr:nvSpPr>
      <xdr:spPr>
        <a:xfrm>
          <a:off x="1285877" y="1726407"/>
          <a:ext cx="1085850" cy="549274"/>
        </a:xfrm>
        <a:prstGeom prst="roundRect">
          <a:avLst/>
        </a:prstGeom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nl-NL" sz="1200" b="1"/>
            <a:t>Ga</a:t>
          </a:r>
          <a:r>
            <a:rPr lang="nl-NL" sz="1200" b="1" baseline="0"/>
            <a:t> naar!</a:t>
          </a:r>
          <a:endParaRPr lang="nl-NL" sz="1200" b="1"/>
        </a:p>
      </xdr:txBody>
    </xdr:sp>
    <xdr:clientData/>
  </xdr:twoCellAnchor>
  <xdr:twoCellAnchor>
    <xdr:from>
      <xdr:col>0</xdr:col>
      <xdr:colOff>95249</xdr:colOff>
      <xdr:row>11</xdr:row>
      <xdr:rowOff>119062</xdr:rowOff>
    </xdr:from>
    <xdr:to>
      <xdr:col>1</xdr:col>
      <xdr:colOff>204786</xdr:colOff>
      <xdr:row>14</xdr:row>
      <xdr:rowOff>61117</xdr:rowOff>
    </xdr:to>
    <xdr:sp macro="[0]!Schoonconfrontatie" textlink="">
      <xdr:nvSpPr>
        <xdr:cNvPr id="11" name="Afgeronde rechthoek 10"/>
        <xdr:cNvSpPr/>
      </xdr:nvSpPr>
      <xdr:spPr>
        <a:xfrm>
          <a:off x="95249" y="2357437"/>
          <a:ext cx="1085850" cy="549274"/>
        </a:xfrm>
        <a:prstGeom prst="roundRect">
          <a:avLst/>
        </a:prstGeom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nl-NL" sz="1200" b="1"/>
            <a:t>Schoon</a:t>
          </a:r>
          <a:r>
            <a:rPr lang="nl-NL" sz="1200" b="1" baseline="0"/>
            <a:t> confrontatie</a:t>
          </a:r>
          <a:endParaRPr lang="nl-NL" sz="12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460941</xdr:colOff>
      <xdr:row>12</xdr:row>
      <xdr:rowOff>35719</xdr:rowOff>
    </xdr:from>
    <xdr:to>
      <xdr:col>15</xdr:col>
      <xdr:colOff>583406</xdr:colOff>
      <xdr:row>14</xdr:row>
      <xdr:rowOff>178594</xdr:rowOff>
    </xdr:to>
    <xdr:sp macro="[0]!SelecteerVolgendeDeelnemer" textlink="">
      <xdr:nvSpPr>
        <xdr:cNvPr id="2" name="Afgeronde rechthoek 1"/>
        <xdr:cNvSpPr/>
      </xdr:nvSpPr>
      <xdr:spPr>
        <a:xfrm>
          <a:off x="12593410" y="2500313"/>
          <a:ext cx="1110684" cy="547687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nl-NL" sz="1200" b="1"/>
            <a:t>Volgende &gt;</a:t>
          </a:r>
        </a:p>
      </xdr:txBody>
    </xdr:sp>
    <xdr:clientData/>
  </xdr:twoCellAnchor>
  <xdr:twoCellAnchor>
    <xdr:from>
      <xdr:col>13</xdr:col>
      <xdr:colOff>250031</xdr:colOff>
      <xdr:row>12</xdr:row>
      <xdr:rowOff>23812</xdr:rowOff>
    </xdr:from>
    <xdr:to>
      <xdr:col>14</xdr:col>
      <xdr:colOff>345281</xdr:colOff>
      <xdr:row>14</xdr:row>
      <xdr:rowOff>166687</xdr:rowOff>
    </xdr:to>
    <xdr:sp macro="[0]!SelecteerVorigeDeelnemer" textlink="">
      <xdr:nvSpPr>
        <xdr:cNvPr id="16" name="Afgeronde rechthoek 15"/>
        <xdr:cNvSpPr/>
      </xdr:nvSpPr>
      <xdr:spPr>
        <a:xfrm>
          <a:off x="11394281" y="2488406"/>
          <a:ext cx="1083469" cy="547687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nl-NL" sz="1200" b="1"/>
            <a:t>&lt;</a:t>
          </a:r>
          <a:r>
            <a:rPr lang="nl-NL" sz="1200" b="1" baseline="0"/>
            <a:t> Vorige</a:t>
          </a:r>
          <a:endParaRPr lang="nl-NL" sz="1200" b="1"/>
        </a:p>
      </xdr:txBody>
    </xdr:sp>
    <xdr:clientData/>
  </xdr:twoCellAnchor>
  <xdr:twoCellAnchor>
    <xdr:from>
      <xdr:col>15</xdr:col>
      <xdr:colOff>702468</xdr:colOff>
      <xdr:row>12</xdr:row>
      <xdr:rowOff>47624</xdr:rowOff>
    </xdr:from>
    <xdr:to>
      <xdr:col>16</xdr:col>
      <xdr:colOff>801121</xdr:colOff>
      <xdr:row>14</xdr:row>
      <xdr:rowOff>190499</xdr:rowOff>
    </xdr:to>
    <xdr:sp macro="[0]!GaNaarDeelnemer" textlink="">
      <xdr:nvSpPr>
        <xdr:cNvPr id="17" name="Afgeronde rechthoek 16"/>
        <xdr:cNvSpPr/>
      </xdr:nvSpPr>
      <xdr:spPr>
        <a:xfrm>
          <a:off x="13823156" y="2512218"/>
          <a:ext cx="1110684" cy="547687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nl-NL" sz="1200" b="1"/>
            <a:t>Ga</a:t>
          </a:r>
          <a:r>
            <a:rPr lang="nl-NL" sz="1200" b="1" baseline="0"/>
            <a:t> naar:</a:t>
          </a:r>
          <a:endParaRPr lang="nl-NL" sz="1200" b="1"/>
        </a:p>
      </xdr:txBody>
    </xdr:sp>
    <xdr:clientData/>
  </xdr:twoCellAnchor>
  <xdr:twoCellAnchor>
    <xdr:from>
      <xdr:col>13</xdr:col>
      <xdr:colOff>250032</xdr:colOff>
      <xdr:row>9</xdr:row>
      <xdr:rowOff>11906</xdr:rowOff>
    </xdr:from>
    <xdr:to>
      <xdr:col>14</xdr:col>
      <xdr:colOff>345282</xdr:colOff>
      <xdr:row>11</xdr:row>
      <xdr:rowOff>154780</xdr:rowOff>
    </xdr:to>
    <xdr:sp macro="[0]!VerversHuidigeDeelnemer" textlink="">
      <xdr:nvSpPr>
        <xdr:cNvPr id="18" name="Afgeronde rechthoek 17"/>
        <xdr:cNvSpPr/>
      </xdr:nvSpPr>
      <xdr:spPr>
        <a:xfrm>
          <a:off x="11394282" y="1833562"/>
          <a:ext cx="1083469" cy="547687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nl-NL" sz="1200" b="1"/>
            <a:t>Ververs</a:t>
          </a:r>
          <a:r>
            <a:rPr lang="nl-NL" sz="1200" b="1" baseline="0"/>
            <a:t> huidige</a:t>
          </a:r>
          <a:endParaRPr lang="nl-NL" sz="1200" b="1"/>
        </a:p>
      </xdr:txBody>
    </xdr:sp>
    <xdr:clientData/>
  </xdr:twoCellAnchor>
  <xdr:twoCellAnchor>
    <xdr:from>
      <xdr:col>13</xdr:col>
      <xdr:colOff>238125</xdr:colOff>
      <xdr:row>5</xdr:row>
      <xdr:rowOff>166687</xdr:rowOff>
    </xdr:from>
    <xdr:to>
      <xdr:col>14</xdr:col>
      <xdr:colOff>333375</xdr:colOff>
      <xdr:row>8</xdr:row>
      <xdr:rowOff>107155</xdr:rowOff>
    </xdr:to>
    <xdr:sp macro="[0]!VullenPersonen" textlink="">
      <xdr:nvSpPr>
        <xdr:cNvPr id="19" name="Afgeronde rechthoek 18"/>
        <xdr:cNvSpPr/>
      </xdr:nvSpPr>
      <xdr:spPr>
        <a:xfrm>
          <a:off x="11382375" y="1178718"/>
          <a:ext cx="1083469" cy="547687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nl-NL" sz="1200" b="1"/>
            <a:t>Vullen</a:t>
          </a:r>
          <a:r>
            <a:rPr lang="nl-NL" sz="1200" b="1" baseline="0"/>
            <a:t> deelnemers</a:t>
          </a:r>
          <a:endParaRPr lang="nl-NL" sz="1200" b="1"/>
        </a:p>
      </xdr:txBody>
    </xdr:sp>
    <xdr:clientData/>
  </xdr:twoCellAnchor>
  <xdr:twoCellAnchor>
    <xdr:from>
      <xdr:col>21</xdr:col>
      <xdr:colOff>107156</xdr:colOff>
      <xdr:row>8</xdr:row>
      <xdr:rowOff>166688</xdr:rowOff>
    </xdr:from>
    <xdr:to>
      <xdr:col>22</xdr:col>
      <xdr:colOff>833437</xdr:colOff>
      <xdr:row>11</xdr:row>
      <xdr:rowOff>107156</xdr:rowOff>
    </xdr:to>
    <xdr:sp macro="[0]!VullenCodeTabellen" textlink="">
      <xdr:nvSpPr>
        <xdr:cNvPr id="20" name="Afgeronde rechthoek 19"/>
        <xdr:cNvSpPr/>
      </xdr:nvSpPr>
      <xdr:spPr>
        <a:xfrm>
          <a:off x="19573875" y="1785938"/>
          <a:ext cx="1845468" cy="547687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nl-NL" sz="1200" b="1"/>
            <a:t>Aanmaken</a:t>
          </a:r>
          <a:r>
            <a:rPr lang="nl-NL" sz="1200" b="1" baseline="0"/>
            <a:t> tabellen</a:t>
          </a:r>
          <a:endParaRPr lang="nl-NL" sz="1200" b="1"/>
        </a:p>
      </xdr:txBody>
    </xdr:sp>
    <xdr:clientData/>
  </xdr:twoCellAnchor>
  <xdr:twoCellAnchor>
    <xdr:from>
      <xdr:col>21</xdr:col>
      <xdr:colOff>107157</xdr:colOff>
      <xdr:row>12</xdr:row>
      <xdr:rowOff>0</xdr:rowOff>
    </xdr:from>
    <xdr:to>
      <xdr:col>22</xdr:col>
      <xdr:colOff>833438</xdr:colOff>
      <xdr:row>14</xdr:row>
      <xdr:rowOff>142875</xdr:rowOff>
    </xdr:to>
    <xdr:sp macro="[0]!VerwijderCodeTabellen" textlink="">
      <xdr:nvSpPr>
        <xdr:cNvPr id="22" name="Afgeronde rechthoek 21"/>
        <xdr:cNvSpPr/>
      </xdr:nvSpPr>
      <xdr:spPr>
        <a:xfrm>
          <a:off x="19573876" y="2464594"/>
          <a:ext cx="1845468" cy="547687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nl-NL" sz="1200" b="1" baseline="0"/>
            <a:t>Verwijderen tabellen</a:t>
          </a:r>
          <a:endParaRPr lang="nl-NL" sz="1200" b="1"/>
        </a:p>
      </xdr:txBody>
    </xdr:sp>
    <xdr:clientData/>
  </xdr:twoCellAnchor>
  <xdr:twoCellAnchor>
    <xdr:from>
      <xdr:col>14</xdr:col>
      <xdr:colOff>469900</xdr:colOff>
      <xdr:row>9</xdr:row>
      <xdr:rowOff>38100</xdr:rowOff>
    </xdr:from>
    <xdr:to>
      <xdr:col>15</xdr:col>
      <xdr:colOff>593953</xdr:colOff>
      <xdr:row>11</xdr:row>
      <xdr:rowOff>180975</xdr:rowOff>
    </xdr:to>
    <xdr:sp macro="[0]!Rijen" textlink="">
      <xdr:nvSpPr>
        <xdr:cNvPr id="9" name="Afgeronde rechthoek 8"/>
        <xdr:cNvSpPr/>
      </xdr:nvSpPr>
      <xdr:spPr>
        <a:xfrm>
          <a:off x="12623800" y="1866900"/>
          <a:ext cx="1114653" cy="549275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nl-NL" sz="1200" b="1"/>
            <a:t>Rijen</a:t>
          </a:r>
          <a:r>
            <a:rPr lang="nl-NL" sz="1200" b="1" baseline="0"/>
            <a:t> bijwerken</a:t>
          </a:r>
          <a:endParaRPr lang="nl-NL" sz="1200" b="1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925286</xdr:colOff>
      <xdr:row>2</xdr:row>
      <xdr:rowOff>204106</xdr:rowOff>
    </xdr:from>
    <xdr:to>
      <xdr:col>5</xdr:col>
      <xdr:colOff>581517</xdr:colOff>
      <xdr:row>5</xdr:row>
      <xdr:rowOff>145519</xdr:rowOff>
    </xdr:to>
    <xdr:sp macro="[0]!SelecteerVorigeDeelnemer" textlink="">
      <xdr:nvSpPr>
        <xdr:cNvPr id="2" name="Afgeronde rechthoek 1"/>
        <xdr:cNvSpPr/>
      </xdr:nvSpPr>
      <xdr:spPr>
        <a:xfrm>
          <a:off x="9865179" y="816427"/>
          <a:ext cx="1221052" cy="553735"/>
        </a:xfrm>
        <a:prstGeom prst="round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nl-NL" sz="1200" b="1"/>
            <a:t>&lt;</a:t>
          </a:r>
          <a:r>
            <a:rPr lang="nl-NL" sz="1200" b="1" baseline="0"/>
            <a:t> Vorige</a:t>
          </a:r>
          <a:endParaRPr lang="nl-NL" sz="1200" b="1"/>
        </a:p>
      </xdr:txBody>
    </xdr:sp>
    <xdr:clientData/>
  </xdr:twoCellAnchor>
  <xdr:twoCellAnchor>
    <xdr:from>
      <xdr:col>5</xdr:col>
      <xdr:colOff>716644</xdr:colOff>
      <xdr:row>2</xdr:row>
      <xdr:rowOff>204106</xdr:rowOff>
    </xdr:from>
    <xdr:to>
      <xdr:col>6</xdr:col>
      <xdr:colOff>669774</xdr:colOff>
      <xdr:row>5</xdr:row>
      <xdr:rowOff>145519</xdr:rowOff>
    </xdr:to>
    <xdr:sp macro="[0]!SelecteerVolgendeDeelnemer" textlink="">
      <xdr:nvSpPr>
        <xdr:cNvPr id="3" name="Afgeronde rechthoek 2"/>
        <xdr:cNvSpPr/>
      </xdr:nvSpPr>
      <xdr:spPr>
        <a:xfrm>
          <a:off x="11221358" y="816427"/>
          <a:ext cx="1204987" cy="553735"/>
        </a:xfrm>
        <a:prstGeom prst="round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nl-NL" sz="1200" b="1"/>
            <a:t>Volgende &gt;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514350</xdr:colOff>
      <xdr:row>2</xdr:row>
      <xdr:rowOff>161925</xdr:rowOff>
    </xdr:from>
    <xdr:to>
      <xdr:col>3</xdr:col>
      <xdr:colOff>64294</xdr:colOff>
      <xdr:row>5</xdr:row>
      <xdr:rowOff>109537</xdr:rowOff>
    </xdr:to>
    <xdr:sp macro="[0]!SelecteerVorigeDeelnemer" textlink="">
      <xdr:nvSpPr>
        <xdr:cNvPr id="2" name="Afgeronde rechthoek 1"/>
        <xdr:cNvSpPr/>
      </xdr:nvSpPr>
      <xdr:spPr>
        <a:xfrm>
          <a:off x="3810000" y="561975"/>
          <a:ext cx="1083469" cy="547687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nl-NL" sz="1200" b="1"/>
            <a:t>&lt;</a:t>
          </a:r>
          <a:r>
            <a:rPr lang="nl-NL" sz="1200" b="1" baseline="0"/>
            <a:t> Vorige</a:t>
          </a:r>
          <a:endParaRPr lang="nl-NL" sz="1200" b="1"/>
        </a:p>
      </xdr:txBody>
    </xdr:sp>
    <xdr:clientData/>
  </xdr:twoCellAnchor>
  <xdr:twoCellAnchor>
    <xdr:from>
      <xdr:col>3</xdr:col>
      <xdr:colOff>152400</xdr:colOff>
      <xdr:row>2</xdr:row>
      <xdr:rowOff>152400</xdr:rowOff>
    </xdr:from>
    <xdr:to>
      <xdr:col>3</xdr:col>
      <xdr:colOff>1263084</xdr:colOff>
      <xdr:row>5</xdr:row>
      <xdr:rowOff>100012</xdr:rowOff>
    </xdr:to>
    <xdr:sp macro="[0]!SelecteerVolgendeDeelnemer" textlink="">
      <xdr:nvSpPr>
        <xdr:cNvPr id="3" name="Afgeronde rechthoek 2"/>
        <xdr:cNvSpPr/>
      </xdr:nvSpPr>
      <xdr:spPr>
        <a:xfrm>
          <a:off x="4981575" y="552450"/>
          <a:ext cx="1110684" cy="547687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nl-NL" sz="1200" b="1"/>
            <a:t>Volgende &gt;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1</xdr:row>
      <xdr:rowOff>0</xdr:rowOff>
    </xdr:from>
    <xdr:to>
      <xdr:col>15</xdr:col>
      <xdr:colOff>517009</xdr:colOff>
      <xdr:row>3</xdr:row>
      <xdr:rowOff>150644</xdr:rowOff>
    </xdr:to>
    <xdr:sp macro="[0]!SelecteerVolgendeDeelnemer" textlink="">
      <xdr:nvSpPr>
        <xdr:cNvPr id="2" name="Afgeronde rechthoek 1"/>
        <xdr:cNvSpPr/>
      </xdr:nvSpPr>
      <xdr:spPr>
        <a:xfrm>
          <a:off x="13930313" y="202406"/>
          <a:ext cx="1207571" cy="555457"/>
        </a:xfrm>
        <a:prstGeom prst="round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nl-NL" sz="1200" b="1"/>
            <a:t>Volgende &gt;</a:t>
          </a:r>
        </a:p>
      </xdr:txBody>
    </xdr:sp>
    <xdr:clientData/>
  </xdr:twoCellAnchor>
  <xdr:twoCellAnchor>
    <xdr:from>
      <xdr:col>12</xdr:col>
      <xdr:colOff>0</xdr:colOff>
      <xdr:row>1</xdr:row>
      <xdr:rowOff>0</xdr:rowOff>
    </xdr:from>
    <xdr:to>
      <xdr:col>13</xdr:col>
      <xdr:colOff>542044</xdr:colOff>
      <xdr:row>3</xdr:row>
      <xdr:rowOff>150644</xdr:rowOff>
    </xdr:to>
    <xdr:sp macro="[0]!SelecteerVorigeDeelnemer" textlink="">
      <xdr:nvSpPr>
        <xdr:cNvPr id="3" name="Afgeronde rechthoek 2"/>
        <xdr:cNvSpPr/>
      </xdr:nvSpPr>
      <xdr:spPr>
        <a:xfrm>
          <a:off x="12549188" y="202406"/>
          <a:ext cx="1232606" cy="555457"/>
        </a:xfrm>
        <a:prstGeom prst="round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nl-NL" sz="1200" b="1"/>
            <a:t>&lt;</a:t>
          </a:r>
          <a:r>
            <a:rPr lang="nl-NL" sz="1200" b="1" baseline="0"/>
            <a:t> Vorige</a:t>
          </a:r>
          <a:endParaRPr lang="nl-NL" sz="12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3:I58"/>
  <sheetViews>
    <sheetView topLeftCell="A4" zoomScale="120" zoomScaleNormal="120" workbookViewId="0">
      <selection activeCell="D18" sqref="D18:D26"/>
    </sheetView>
  </sheetViews>
  <sheetFormatPr defaultColWidth="11" defaultRowHeight="15.75"/>
  <cols>
    <col min="1" max="1" width="13.75" bestFit="1" customWidth="1"/>
    <col min="2" max="2" width="22.625" bestFit="1" customWidth="1"/>
    <col min="3" max="3" width="13" bestFit="1" customWidth="1"/>
    <col min="4" max="4" width="24.625" customWidth="1"/>
    <col min="5" max="5" width="13.625" bestFit="1" customWidth="1"/>
    <col min="6" max="6" width="22.625" bestFit="1" customWidth="1"/>
    <col min="8" max="8" width="20.5" bestFit="1" customWidth="1"/>
  </cols>
  <sheetData>
    <row r="3" spans="1:9" s="174" customFormat="1"/>
    <row r="4" spans="1:9">
      <c r="C4" s="252"/>
    </row>
    <row r="5" spans="1:9">
      <c r="C5" s="253"/>
    </row>
    <row r="6" spans="1:9" ht="16.5" thickBot="1"/>
    <row r="7" spans="1:9">
      <c r="A7" s="221" t="s">
        <v>9</v>
      </c>
      <c r="B7" s="222"/>
      <c r="C7" s="222" t="s">
        <v>34</v>
      </c>
      <c r="D7" s="222"/>
      <c r="E7" s="222" t="s">
        <v>10</v>
      </c>
      <c r="F7" s="223"/>
    </row>
    <row r="8" spans="1:9">
      <c r="A8" s="224" t="s">
        <v>0</v>
      </c>
      <c r="B8" s="225" t="s">
        <v>1</v>
      </c>
      <c r="C8" s="225" t="s">
        <v>0</v>
      </c>
      <c r="D8" s="225" t="s">
        <v>1</v>
      </c>
      <c r="E8" s="225" t="s">
        <v>0</v>
      </c>
      <c r="F8" s="226" t="s">
        <v>1</v>
      </c>
      <c r="H8" s="15" t="s">
        <v>101</v>
      </c>
      <c r="I8" s="15"/>
    </row>
    <row r="9" spans="1:9">
      <c r="A9" s="224" t="s">
        <v>2</v>
      </c>
      <c r="B9" s="225" t="s">
        <v>108</v>
      </c>
      <c r="C9" s="225" t="s">
        <v>2</v>
      </c>
      <c r="D9" s="225" t="s">
        <v>108</v>
      </c>
      <c r="E9" s="225" t="s">
        <v>2</v>
      </c>
      <c r="F9" s="226" t="s">
        <v>108</v>
      </c>
      <c r="H9" s="10" t="s">
        <v>94</v>
      </c>
      <c r="I9" s="10">
        <v>1</v>
      </c>
    </row>
    <row r="10" spans="1:9">
      <c r="A10" s="224" t="s">
        <v>3</v>
      </c>
      <c r="B10" s="225" t="s">
        <v>203</v>
      </c>
      <c r="C10" s="225" t="s">
        <v>3</v>
      </c>
      <c r="D10" s="225" t="s">
        <v>203</v>
      </c>
      <c r="E10" s="225" t="s">
        <v>3</v>
      </c>
      <c r="F10" s="226" t="s">
        <v>203</v>
      </c>
      <c r="H10" s="10" t="s">
        <v>39</v>
      </c>
      <c r="I10" s="10">
        <v>2</v>
      </c>
    </row>
    <row r="11" spans="1:9">
      <c r="A11" s="224" t="s">
        <v>13</v>
      </c>
      <c r="B11" s="225" t="s">
        <v>553</v>
      </c>
      <c r="C11" s="225" t="s">
        <v>13</v>
      </c>
      <c r="D11" s="225" t="s">
        <v>553</v>
      </c>
      <c r="E11" s="225" t="s">
        <v>13</v>
      </c>
      <c r="F11" s="226" t="s">
        <v>553</v>
      </c>
      <c r="H11" s="10" t="s">
        <v>38</v>
      </c>
      <c r="I11" s="10">
        <v>3</v>
      </c>
    </row>
    <row r="12" spans="1:9">
      <c r="A12" s="224" t="s">
        <v>4</v>
      </c>
      <c r="B12" s="400" t="s">
        <v>552</v>
      </c>
      <c r="C12" s="225" t="s">
        <v>4</v>
      </c>
      <c r="D12" s="227" t="s">
        <v>552</v>
      </c>
      <c r="E12" s="225" t="s">
        <v>4</v>
      </c>
      <c r="F12" s="228" t="s">
        <v>552</v>
      </c>
      <c r="H12" s="10" t="s">
        <v>40</v>
      </c>
      <c r="I12" s="10">
        <v>4</v>
      </c>
    </row>
    <row r="13" spans="1:9">
      <c r="A13" s="224" t="s">
        <v>5</v>
      </c>
      <c r="B13" s="225" t="s">
        <v>8</v>
      </c>
      <c r="C13" s="225" t="s">
        <v>5</v>
      </c>
      <c r="D13" s="225" t="s">
        <v>554</v>
      </c>
      <c r="E13" s="225" t="s">
        <v>5</v>
      </c>
      <c r="F13" s="226" t="s">
        <v>7</v>
      </c>
      <c r="H13" s="10" t="s">
        <v>36</v>
      </c>
      <c r="I13" s="10">
        <v>5</v>
      </c>
    </row>
    <row r="14" spans="1:9">
      <c r="A14" s="224" t="s">
        <v>6</v>
      </c>
      <c r="B14" s="225" t="s">
        <v>104</v>
      </c>
      <c r="C14" s="225" t="s">
        <v>6</v>
      </c>
      <c r="D14" s="225" t="s">
        <v>35</v>
      </c>
      <c r="E14" s="225" t="s">
        <v>6</v>
      </c>
      <c r="F14" s="226" t="s">
        <v>104</v>
      </c>
      <c r="H14" s="10" t="s">
        <v>37</v>
      </c>
      <c r="I14" s="10">
        <v>6</v>
      </c>
    </row>
    <row r="15" spans="1:9" ht="16.5" thickBot="1">
      <c r="A15" s="229" t="s">
        <v>12</v>
      </c>
      <c r="B15" s="230" t="s">
        <v>107</v>
      </c>
      <c r="C15" s="230" t="s">
        <v>12</v>
      </c>
      <c r="D15" s="230" t="s">
        <v>107</v>
      </c>
      <c r="E15" s="230" t="s">
        <v>12</v>
      </c>
      <c r="F15" s="231" t="s">
        <v>107</v>
      </c>
      <c r="H15" s="10" t="s">
        <v>96</v>
      </c>
      <c r="I15" s="10">
        <v>7</v>
      </c>
    </row>
    <row r="16" spans="1:9">
      <c r="H16" s="10" t="s">
        <v>98</v>
      </c>
      <c r="I16" s="10">
        <v>8</v>
      </c>
    </row>
    <row r="17" spans="1:9">
      <c r="H17" s="10" t="s">
        <v>97</v>
      </c>
      <c r="I17" s="10">
        <v>9</v>
      </c>
    </row>
    <row r="18" spans="1:9">
      <c r="H18" s="10" t="s">
        <v>95</v>
      </c>
      <c r="I18" s="10">
        <v>10</v>
      </c>
    </row>
    <row r="19" spans="1:9">
      <c r="H19" s="10" t="s">
        <v>93</v>
      </c>
      <c r="I19" s="10">
        <v>11</v>
      </c>
    </row>
    <row r="20" spans="1:9">
      <c r="H20" s="10" t="s">
        <v>102</v>
      </c>
      <c r="I20" s="10">
        <v>12</v>
      </c>
    </row>
    <row r="21" spans="1:9">
      <c r="H21" s="11" t="s">
        <v>103</v>
      </c>
      <c r="I21" s="10">
        <v>13</v>
      </c>
    </row>
    <row r="22" spans="1:9">
      <c r="H22" s="10" t="s">
        <v>92</v>
      </c>
      <c r="I22" s="10">
        <v>14</v>
      </c>
    </row>
    <row r="27" spans="1:9" ht="16.5" thickBot="1">
      <c r="A27" t="s">
        <v>181</v>
      </c>
    </row>
    <row r="28" spans="1:9">
      <c r="A28" s="241" t="s">
        <v>9</v>
      </c>
      <c r="B28" s="242"/>
      <c r="C28" s="242" t="s">
        <v>34</v>
      </c>
      <c r="D28" s="242"/>
      <c r="E28" s="242" t="s">
        <v>10</v>
      </c>
      <c r="F28" s="243"/>
    </row>
    <row r="29" spans="1:9">
      <c r="A29" s="244" t="s">
        <v>0</v>
      </c>
      <c r="B29" s="245" t="s">
        <v>1</v>
      </c>
      <c r="C29" s="245" t="s">
        <v>0</v>
      </c>
      <c r="D29" s="245" t="s">
        <v>1</v>
      </c>
      <c r="E29" s="245" t="s">
        <v>0</v>
      </c>
      <c r="F29" s="246" t="s">
        <v>1</v>
      </c>
    </row>
    <row r="30" spans="1:9">
      <c r="A30" s="244" t="s">
        <v>2</v>
      </c>
      <c r="B30" s="245" t="s">
        <v>181</v>
      </c>
      <c r="C30" s="245" t="s">
        <v>2</v>
      </c>
      <c r="D30" s="245" t="s">
        <v>181</v>
      </c>
      <c r="E30" s="245" t="s">
        <v>2</v>
      </c>
      <c r="F30" s="246" t="s">
        <v>181</v>
      </c>
    </row>
    <row r="31" spans="1:9">
      <c r="A31" s="244" t="s">
        <v>3</v>
      </c>
      <c r="B31" s="245" t="s">
        <v>204</v>
      </c>
      <c r="C31" s="245" t="s">
        <v>3</v>
      </c>
      <c r="D31" s="245" t="s">
        <v>204</v>
      </c>
      <c r="E31" s="245" t="s">
        <v>3</v>
      </c>
      <c r="F31" s="246" t="s">
        <v>204</v>
      </c>
    </row>
    <row r="32" spans="1:9">
      <c r="A32" s="244" t="s">
        <v>13</v>
      </c>
      <c r="B32" s="245" t="s">
        <v>169</v>
      </c>
      <c r="C32" s="245" t="s">
        <v>13</v>
      </c>
      <c r="D32" s="245" t="s">
        <v>169</v>
      </c>
      <c r="E32" s="245" t="s">
        <v>13</v>
      </c>
      <c r="F32" s="246" t="s">
        <v>169</v>
      </c>
    </row>
    <row r="33" spans="1:6">
      <c r="A33" s="244" t="s">
        <v>4</v>
      </c>
      <c r="B33" s="247" t="s">
        <v>185</v>
      </c>
      <c r="C33" s="245" t="s">
        <v>4</v>
      </c>
      <c r="D33" s="247" t="s">
        <v>185</v>
      </c>
      <c r="E33" s="245" t="s">
        <v>4</v>
      </c>
      <c r="F33" s="248" t="s">
        <v>185</v>
      </c>
    </row>
    <row r="34" spans="1:6">
      <c r="A34" s="244" t="s">
        <v>5</v>
      </c>
      <c r="B34" s="245" t="s">
        <v>8</v>
      </c>
      <c r="C34" s="245" t="s">
        <v>5</v>
      </c>
      <c r="D34" s="245" t="s">
        <v>554</v>
      </c>
      <c r="E34" s="245" t="s">
        <v>5</v>
      </c>
      <c r="F34" s="246" t="s">
        <v>7</v>
      </c>
    </row>
    <row r="35" spans="1:6">
      <c r="A35" s="244" t="s">
        <v>6</v>
      </c>
      <c r="B35" s="245" t="s">
        <v>104</v>
      </c>
      <c r="C35" s="245" t="s">
        <v>6</v>
      </c>
      <c r="D35" s="245" t="s">
        <v>35</v>
      </c>
      <c r="E35" s="245" t="s">
        <v>6</v>
      </c>
      <c r="F35" s="246" t="s">
        <v>104</v>
      </c>
    </row>
    <row r="36" spans="1:6" ht="16.5" thickBot="1">
      <c r="A36" s="249" t="s">
        <v>12</v>
      </c>
      <c r="B36" s="250" t="s">
        <v>107</v>
      </c>
      <c r="C36" s="250" t="s">
        <v>12</v>
      </c>
      <c r="D36" s="250" t="s">
        <v>107</v>
      </c>
      <c r="E36" s="250" t="s">
        <v>12</v>
      </c>
      <c r="F36" s="251" t="s">
        <v>107</v>
      </c>
    </row>
    <row r="38" spans="1:6" ht="16.5" thickBot="1">
      <c r="A38" t="s">
        <v>108</v>
      </c>
    </row>
    <row r="39" spans="1:6">
      <c r="A39" s="221" t="s">
        <v>9</v>
      </c>
      <c r="B39" s="222"/>
      <c r="C39" s="222" t="s">
        <v>34</v>
      </c>
      <c r="D39" s="222"/>
      <c r="E39" s="222" t="s">
        <v>10</v>
      </c>
      <c r="F39" s="223"/>
    </row>
    <row r="40" spans="1:6">
      <c r="A40" s="224" t="s">
        <v>0</v>
      </c>
      <c r="B40" s="225" t="s">
        <v>1</v>
      </c>
      <c r="C40" s="225" t="s">
        <v>0</v>
      </c>
      <c r="D40" s="225" t="s">
        <v>1</v>
      </c>
      <c r="E40" s="225" t="s">
        <v>0</v>
      </c>
      <c r="F40" s="226" t="s">
        <v>1</v>
      </c>
    </row>
    <row r="41" spans="1:6">
      <c r="A41" s="224" t="s">
        <v>2</v>
      </c>
      <c r="B41" s="225" t="s">
        <v>108</v>
      </c>
      <c r="C41" s="225" t="s">
        <v>2</v>
      </c>
      <c r="D41" s="225" t="s">
        <v>108</v>
      </c>
      <c r="E41" s="225" t="s">
        <v>2</v>
      </c>
      <c r="F41" s="226" t="s">
        <v>108</v>
      </c>
    </row>
    <row r="42" spans="1:6">
      <c r="A42" s="224" t="s">
        <v>3</v>
      </c>
      <c r="B42" s="225" t="s">
        <v>203</v>
      </c>
      <c r="C42" s="225" t="s">
        <v>3</v>
      </c>
      <c r="D42" s="225" t="s">
        <v>203</v>
      </c>
      <c r="E42" s="225" t="s">
        <v>3</v>
      </c>
      <c r="F42" s="225" t="s">
        <v>203</v>
      </c>
    </row>
    <row r="43" spans="1:6">
      <c r="A43" s="224" t="s">
        <v>13</v>
      </c>
      <c r="B43" s="225" t="s">
        <v>553</v>
      </c>
      <c r="C43" s="225" t="s">
        <v>13</v>
      </c>
      <c r="D43" s="225" t="s">
        <v>553</v>
      </c>
      <c r="E43" s="225" t="s">
        <v>13</v>
      </c>
      <c r="F43" s="226" t="s">
        <v>553</v>
      </c>
    </row>
    <row r="44" spans="1:6">
      <c r="A44" s="224" t="s">
        <v>4</v>
      </c>
      <c r="B44" s="350" t="s">
        <v>552</v>
      </c>
      <c r="C44" s="225" t="s">
        <v>4</v>
      </c>
      <c r="D44" s="350" t="s">
        <v>552</v>
      </c>
      <c r="E44" s="225" t="s">
        <v>4</v>
      </c>
      <c r="F44" s="351" t="s">
        <v>552</v>
      </c>
    </row>
    <row r="45" spans="1:6">
      <c r="A45" s="224" t="s">
        <v>5</v>
      </c>
      <c r="B45" s="225" t="s">
        <v>8</v>
      </c>
      <c r="C45" s="225" t="s">
        <v>5</v>
      </c>
      <c r="D45" s="225" t="s">
        <v>554</v>
      </c>
      <c r="E45" s="225" t="s">
        <v>5</v>
      </c>
      <c r="F45" s="226" t="s">
        <v>7</v>
      </c>
    </row>
    <row r="46" spans="1:6">
      <c r="A46" s="224" t="s">
        <v>6</v>
      </c>
      <c r="B46" s="225" t="s">
        <v>104</v>
      </c>
      <c r="C46" s="225" t="s">
        <v>6</v>
      </c>
      <c r="D46" s="225" t="s">
        <v>35</v>
      </c>
      <c r="E46" s="225" t="s">
        <v>6</v>
      </c>
      <c r="F46" s="226" t="s">
        <v>104</v>
      </c>
    </row>
    <row r="47" spans="1:6" ht="16.5" thickBot="1">
      <c r="A47" s="229" t="s">
        <v>12</v>
      </c>
      <c r="B47" s="230" t="s">
        <v>107</v>
      </c>
      <c r="C47" s="230" t="s">
        <v>12</v>
      </c>
      <c r="D47" s="230" t="s">
        <v>107</v>
      </c>
      <c r="E47" s="230" t="s">
        <v>12</v>
      </c>
      <c r="F47" s="231" t="s">
        <v>107</v>
      </c>
    </row>
    <row r="49" spans="1:6" s="174" customFormat="1" ht="16.5" thickBot="1">
      <c r="A49" s="174" t="s">
        <v>183</v>
      </c>
    </row>
    <row r="50" spans="1:6">
      <c r="A50" s="232" t="s">
        <v>9</v>
      </c>
      <c r="B50" s="233"/>
      <c r="C50" s="233" t="s">
        <v>34</v>
      </c>
      <c r="D50" s="233"/>
      <c r="E50" s="233" t="s">
        <v>10</v>
      </c>
      <c r="F50" s="234"/>
    </row>
    <row r="51" spans="1:6">
      <c r="A51" s="235" t="s">
        <v>0</v>
      </c>
      <c r="B51" s="236" t="s">
        <v>1</v>
      </c>
      <c r="C51" s="236" t="s">
        <v>0</v>
      </c>
      <c r="D51" s="236" t="s">
        <v>1</v>
      </c>
      <c r="E51" s="236" t="s">
        <v>0</v>
      </c>
      <c r="F51" s="237" t="s">
        <v>1</v>
      </c>
    </row>
    <row r="52" spans="1:6">
      <c r="A52" s="235" t="s">
        <v>2</v>
      </c>
      <c r="B52" s="236" t="s">
        <v>181</v>
      </c>
      <c r="C52" s="236" t="s">
        <v>2</v>
      </c>
      <c r="D52" s="236" t="s">
        <v>181</v>
      </c>
      <c r="E52" s="236" t="s">
        <v>2</v>
      </c>
      <c r="F52" s="237" t="s">
        <v>181</v>
      </c>
    </row>
    <row r="53" spans="1:6">
      <c r="A53" s="235" t="s">
        <v>3</v>
      </c>
      <c r="B53" s="236" t="s">
        <v>182</v>
      </c>
      <c r="C53" s="236" t="s">
        <v>3</v>
      </c>
      <c r="D53" s="236" t="s">
        <v>182</v>
      </c>
      <c r="E53" s="236" t="s">
        <v>3</v>
      </c>
      <c r="F53" s="237" t="s">
        <v>182</v>
      </c>
    </row>
    <row r="54" spans="1:6">
      <c r="A54" s="235" t="s">
        <v>13</v>
      </c>
      <c r="B54" s="236" t="s">
        <v>105</v>
      </c>
      <c r="C54" s="236" t="s">
        <v>13</v>
      </c>
      <c r="D54" s="236" t="s">
        <v>105</v>
      </c>
      <c r="E54" s="236" t="s">
        <v>13</v>
      </c>
      <c r="F54" s="237" t="s">
        <v>105</v>
      </c>
    </row>
    <row r="55" spans="1:6">
      <c r="A55" s="235" t="s">
        <v>4</v>
      </c>
      <c r="B55" s="236" t="s">
        <v>106</v>
      </c>
      <c r="C55" s="236" t="s">
        <v>4</v>
      </c>
      <c r="D55" s="236" t="s">
        <v>106</v>
      </c>
      <c r="E55" s="236" t="s">
        <v>4</v>
      </c>
      <c r="F55" s="237" t="s">
        <v>106</v>
      </c>
    </row>
    <row r="56" spans="1:6">
      <c r="A56" s="235" t="s">
        <v>5</v>
      </c>
      <c r="B56" s="236" t="s">
        <v>8</v>
      </c>
      <c r="C56" s="236" t="s">
        <v>5</v>
      </c>
      <c r="D56" s="236" t="s">
        <v>554</v>
      </c>
      <c r="E56" s="236" t="s">
        <v>5</v>
      </c>
      <c r="F56" s="237" t="s">
        <v>7</v>
      </c>
    </row>
    <row r="57" spans="1:6">
      <c r="A57" s="235" t="s">
        <v>6</v>
      </c>
      <c r="B57" s="236" t="s">
        <v>104</v>
      </c>
      <c r="C57" s="236" t="s">
        <v>6</v>
      </c>
      <c r="D57" s="236" t="s">
        <v>35</v>
      </c>
      <c r="E57" s="236" t="s">
        <v>6</v>
      </c>
      <c r="F57" s="237" t="s">
        <v>104</v>
      </c>
    </row>
    <row r="58" spans="1:6" ht="16.5" thickBot="1">
      <c r="A58" s="238" t="s">
        <v>12</v>
      </c>
      <c r="B58" s="239" t="s">
        <v>105</v>
      </c>
      <c r="C58" s="239" t="s">
        <v>12</v>
      </c>
      <c r="D58" s="239" t="s">
        <v>105</v>
      </c>
      <c r="E58" s="239" t="s">
        <v>12</v>
      </c>
      <c r="F58" s="240" t="s">
        <v>105</v>
      </c>
    </row>
  </sheetData>
  <sortState ref="H9:I22">
    <sortCondition ref="I9:I22"/>
  </sortState>
  <pageMargins left="0.75" right="0.75" top="1" bottom="1" header="0.5" footer="0.5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3:C13"/>
  <sheetViews>
    <sheetView workbookViewId="0">
      <selection activeCell="C43" sqref="C43"/>
    </sheetView>
  </sheetViews>
  <sheetFormatPr defaultRowHeight="15.75"/>
  <cols>
    <col min="1" max="1" width="12.125" bestFit="1" customWidth="1"/>
    <col min="2" max="3" width="11.875" bestFit="1" customWidth="1"/>
  </cols>
  <sheetData>
    <row r="3" spans="1:3">
      <c r="A3" t="s">
        <v>19</v>
      </c>
      <c r="B3" t="s">
        <v>20</v>
      </c>
      <c r="C3" t="s">
        <v>21</v>
      </c>
    </row>
    <row r="4" spans="1:3">
      <c r="A4" t="s">
        <v>22</v>
      </c>
      <c r="B4" t="s">
        <v>20</v>
      </c>
      <c r="C4" t="s">
        <v>21</v>
      </c>
    </row>
    <row r="5" spans="1:3">
      <c r="A5">
        <v>1</v>
      </c>
      <c r="B5">
        <v>6.9000005722045898E-2</v>
      </c>
      <c r="C5">
        <v>6.9000005722045898E-2</v>
      </c>
    </row>
    <row r="12" spans="1:3">
      <c r="A12" t="s">
        <v>22</v>
      </c>
      <c r="B12" t="s">
        <v>20</v>
      </c>
      <c r="C12" t="s">
        <v>21</v>
      </c>
    </row>
    <row r="13" spans="1:3">
      <c r="A13">
        <v>10</v>
      </c>
      <c r="B13" t="s">
        <v>41</v>
      </c>
      <c r="C13">
        <v>4.7004461288452145E-3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 tint="0.59999389629810485"/>
  </sheetPr>
  <dimension ref="A1:Y1003"/>
  <sheetViews>
    <sheetView zoomScale="80" zoomScaleNormal="80" workbookViewId="0">
      <pane ySplit="2" topLeftCell="A3" activePane="bottomLeft" state="frozen"/>
      <selection pane="bottomLeft" activeCell="E110" sqref="E110"/>
    </sheetView>
  </sheetViews>
  <sheetFormatPr defaultRowHeight="15.75"/>
  <cols>
    <col min="1" max="1" width="12.75" customWidth="1"/>
    <col min="2" max="2" width="16.875" customWidth="1"/>
    <col min="5" max="5" width="25.125" bestFit="1" customWidth="1"/>
    <col min="6" max="6" width="12.875" customWidth="1"/>
    <col min="8" max="9" width="12.625" bestFit="1" customWidth="1"/>
    <col min="16" max="16" width="7.5" bestFit="1" customWidth="1"/>
  </cols>
  <sheetData>
    <row r="1" spans="1:25" ht="18.75">
      <c r="E1" s="377"/>
      <c r="F1" s="368"/>
      <c r="H1" t="s">
        <v>167</v>
      </c>
      <c r="I1" t="s">
        <v>506</v>
      </c>
      <c r="J1" t="s">
        <v>165</v>
      </c>
      <c r="K1" t="s">
        <v>177</v>
      </c>
      <c r="L1" t="s">
        <v>178</v>
      </c>
      <c r="M1" t="s">
        <v>179</v>
      </c>
      <c r="N1" t="s">
        <v>166</v>
      </c>
      <c r="O1" t="s">
        <v>208</v>
      </c>
      <c r="P1" t="s">
        <v>207</v>
      </c>
      <c r="Q1" t="s">
        <v>206</v>
      </c>
      <c r="R1" t="s">
        <v>180</v>
      </c>
      <c r="S1" t="s">
        <v>209</v>
      </c>
      <c r="T1" t="s">
        <v>210</v>
      </c>
      <c r="U1" t="s">
        <v>211</v>
      </c>
    </row>
    <row r="2" spans="1:25" ht="16.5" thickBot="1"/>
    <row r="3" spans="1:25">
      <c r="A3" s="286" t="s">
        <v>201</v>
      </c>
      <c r="B3" s="287"/>
      <c r="C3" s="288"/>
      <c r="E3" t="s">
        <v>11</v>
      </c>
    </row>
    <row r="4" spans="1:25">
      <c r="A4" s="172"/>
      <c r="B4" s="165"/>
      <c r="C4" s="167"/>
      <c r="E4" s="378">
        <v>30503</v>
      </c>
      <c r="H4" s="339">
        <v>0</v>
      </c>
      <c r="I4" s="339">
        <v>0</v>
      </c>
      <c r="J4" s="378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Y4" s="378"/>
    </row>
    <row r="5" spans="1:25">
      <c r="A5" s="172"/>
      <c r="B5" s="165"/>
      <c r="C5" s="167"/>
      <c r="E5" s="378">
        <v>48860</v>
      </c>
      <c r="H5" s="339">
        <v>0</v>
      </c>
      <c r="I5" s="339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Y5" s="378"/>
    </row>
    <row r="6" spans="1:25">
      <c r="A6" s="172"/>
      <c r="B6" s="165"/>
      <c r="C6" s="167"/>
      <c r="E6" s="378">
        <v>87270</v>
      </c>
      <c r="H6" s="339">
        <v>0</v>
      </c>
      <c r="I6" s="339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Y6" s="378"/>
    </row>
    <row r="7" spans="1:25">
      <c r="A7" s="172"/>
      <c r="B7" s="165"/>
      <c r="C7" s="167"/>
      <c r="E7" s="378">
        <v>106100</v>
      </c>
      <c r="H7" s="339">
        <v>0</v>
      </c>
      <c r="I7" s="339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Y7" s="378"/>
    </row>
    <row r="8" spans="1:25">
      <c r="A8" s="172"/>
      <c r="B8" s="165"/>
      <c r="C8" s="167"/>
      <c r="E8" s="378">
        <v>108340</v>
      </c>
      <c r="H8" s="339">
        <v>0</v>
      </c>
      <c r="I8" s="339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Y8" s="378"/>
    </row>
    <row r="9" spans="1:25">
      <c r="A9" s="172"/>
      <c r="B9" s="165"/>
      <c r="C9" s="167"/>
      <c r="E9" s="378">
        <v>135267</v>
      </c>
      <c r="H9" s="339">
        <v>0</v>
      </c>
      <c r="I9" s="33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Y9" s="378"/>
    </row>
    <row r="10" spans="1:25">
      <c r="A10" s="172"/>
      <c r="B10" s="165"/>
      <c r="C10" s="167"/>
      <c r="E10" s="378">
        <v>143081</v>
      </c>
      <c r="H10" s="339">
        <v>0</v>
      </c>
      <c r="I10" s="339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Y10" s="378"/>
    </row>
    <row r="11" spans="1:25">
      <c r="A11" s="172"/>
      <c r="B11" s="165"/>
      <c r="C11" s="167"/>
      <c r="E11" s="378">
        <v>165735</v>
      </c>
      <c r="H11" s="339">
        <v>0</v>
      </c>
      <c r="I11" s="339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Y11" s="378"/>
    </row>
    <row r="12" spans="1:25">
      <c r="A12" s="172"/>
      <c r="B12" s="165"/>
      <c r="C12" s="167"/>
      <c r="E12" s="378">
        <v>185140</v>
      </c>
      <c r="H12" s="339">
        <v>0</v>
      </c>
      <c r="I12" s="339">
        <v>0</v>
      </c>
      <c r="J12" s="339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Y12" s="378"/>
    </row>
    <row r="13" spans="1:25">
      <c r="A13" s="172"/>
      <c r="B13" s="165"/>
      <c r="C13" s="167"/>
      <c r="E13">
        <v>193410</v>
      </c>
      <c r="H13" s="339">
        <v>0</v>
      </c>
      <c r="I13" s="339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Y13" s="378"/>
    </row>
    <row r="14" spans="1:25">
      <c r="A14" s="172"/>
      <c r="B14" s="165"/>
      <c r="C14" s="167"/>
      <c r="E14">
        <v>221260</v>
      </c>
      <c r="H14" s="339">
        <v>2098</v>
      </c>
      <c r="I14" s="339">
        <v>2098</v>
      </c>
      <c r="J14">
        <v>1999</v>
      </c>
      <c r="K14">
        <v>99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Y14" s="378"/>
    </row>
    <row r="15" spans="1:25">
      <c r="A15" s="172"/>
      <c r="B15" s="165"/>
      <c r="C15" s="167"/>
      <c r="E15">
        <v>261580</v>
      </c>
      <c r="H15" s="339">
        <v>0</v>
      </c>
      <c r="I15" s="339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Y15" s="378"/>
    </row>
    <row r="16" spans="1:25" ht="16.5" thickBot="1">
      <c r="A16" s="162"/>
      <c r="B16" s="170"/>
      <c r="C16" s="164"/>
      <c r="E16">
        <v>278270</v>
      </c>
      <c r="H16" s="339">
        <v>0</v>
      </c>
      <c r="I16" s="339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Y16" s="378"/>
    </row>
    <row r="17" spans="1:25">
      <c r="A17" s="289"/>
      <c r="B17" s="290"/>
      <c r="C17" s="291"/>
      <c r="E17">
        <v>291390</v>
      </c>
      <c r="H17" s="339">
        <v>0</v>
      </c>
      <c r="I17" s="339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Y17" s="378"/>
    </row>
    <row r="18" spans="1:25">
      <c r="A18" s="292"/>
      <c r="B18" s="23"/>
      <c r="C18" s="293"/>
      <c r="E18">
        <v>296090</v>
      </c>
      <c r="H18" s="339">
        <v>0</v>
      </c>
      <c r="I18" s="339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Y18" s="378"/>
    </row>
    <row r="19" spans="1:25">
      <c r="A19" s="292"/>
      <c r="B19" s="23"/>
      <c r="C19" s="293"/>
      <c r="E19">
        <v>304093</v>
      </c>
      <c r="H19" s="339">
        <v>0</v>
      </c>
      <c r="I19" s="33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Y19" s="378"/>
    </row>
    <row r="20" spans="1:25">
      <c r="A20" s="292"/>
      <c r="B20" s="23"/>
      <c r="C20" s="293"/>
      <c r="E20">
        <v>326380</v>
      </c>
      <c r="H20" s="339">
        <v>0</v>
      </c>
      <c r="I20" s="339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Y20" s="378"/>
    </row>
    <row r="21" spans="1:25">
      <c r="A21" s="297" t="s">
        <v>200</v>
      </c>
      <c r="B21" s="23"/>
      <c r="C21" s="293"/>
      <c r="E21">
        <v>328960</v>
      </c>
      <c r="H21" s="339">
        <v>0</v>
      </c>
      <c r="I21" s="339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Y21" s="378"/>
    </row>
    <row r="22" spans="1:25">
      <c r="A22" s="292" t="s">
        <v>108</v>
      </c>
      <c r="B22" s="23"/>
      <c r="C22" s="293"/>
      <c r="E22">
        <v>331848</v>
      </c>
      <c r="H22" s="339">
        <v>0</v>
      </c>
      <c r="I22" s="339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Y22" s="378"/>
    </row>
    <row r="23" spans="1:25">
      <c r="A23" s="292"/>
      <c r="B23" s="23"/>
      <c r="C23" s="293"/>
      <c r="E23">
        <v>337390</v>
      </c>
      <c r="H23" s="339">
        <v>0</v>
      </c>
      <c r="I23" s="339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Y23" s="378"/>
    </row>
    <row r="24" spans="1:25">
      <c r="A24" s="292"/>
      <c r="B24" s="23"/>
      <c r="C24" s="293"/>
      <c r="E24">
        <v>344400</v>
      </c>
      <c r="H24" s="339">
        <v>0</v>
      </c>
      <c r="I24" s="339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Y24" s="378"/>
    </row>
    <row r="25" spans="1:25">
      <c r="A25" s="292"/>
      <c r="B25" s="23"/>
      <c r="C25" s="293"/>
      <c r="E25">
        <v>349100</v>
      </c>
      <c r="H25" s="339">
        <v>0</v>
      </c>
      <c r="I25" s="339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Y25" s="378"/>
    </row>
    <row r="26" spans="1:25">
      <c r="A26" s="292"/>
      <c r="B26" s="23"/>
      <c r="C26" s="293"/>
      <c r="E26">
        <v>353450</v>
      </c>
      <c r="H26" s="339">
        <v>0</v>
      </c>
      <c r="I26" s="339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Y26" s="378"/>
    </row>
    <row r="27" spans="1:25">
      <c r="A27" s="292"/>
      <c r="B27" s="23"/>
      <c r="C27" s="293"/>
      <c r="E27">
        <v>364703</v>
      </c>
      <c r="H27" s="339">
        <v>0</v>
      </c>
      <c r="I27" s="339">
        <v>0</v>
      </c>
      <c r="J27" s="378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Y27" s="378"/>
    </row>
    <row r="28" spans="1:25">
      <c r="A28" s="292"/>
      <c r="B28" s="23"/>
      <c r="C28" s="293"/>
      <c r="E28">
        <v>377430</v>
      </c>
      <c r="H28" s="339">
        <v>0</v>
      </c>
      <c r="I28" s="339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Y28" s="378"/>
    </row>
    <row r="29" spans="1:25">
      <c r="A29" s="292"/>
      <c r="B29" s="23"/>
      <c r="C29" s="293"/>
      <c r="E29">
        <v>385190</v>
      </c>
      <c r="H29" s="339">
        <v>0</v>
      </c>
      <c r="I29" s="33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Y29" s="378"/>
    </row>
    <row r="30" spans="1:25">
      <c r="A30" s="292"/>
      <c r="B30" s="23"/>
      <c r="C30" s="293"/>
      <c r="E30">
        <v>398160</v>
      </c>
      <c r="H30" s="339">
        <v>0</v>
      </c>
      <c r="I30" s="339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Y30" s="378"/>
    </row>
    <row r="31" spans="1:25">
      <c r="A31" s="292"/>
      <c r="B31" s="23"/>
      <c r="C31" s="293"/>
      <c r="E31">
        <v>402540</v>
      </c>
      <c r="H31" s="339">
        <v>0</v>
      </c>
      <c r="I31" s="339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Y31" s="378"/>
    </row>
    <row r="32" spans="1:25">
      <c r="A32" s="292"/>
      <c r="B32" s="23"/>
      <c r="C32" s="293"/>
      <c r="E32">
        <v>411140</v>
      </c>
      <c r="H32" s="339">
        <v>0</v>
      </c>
      <c r="I32" s="339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Y32" s="378"/>
    </row>
    <row r="33" spans="1:25">
      <c r="A33" s="292"/>
      <c r="B33" s="23"/>
      <c r="C33" s="293"/>
      <c r="E33">
        <v>427519</v>
      </c>
      <c r="H33" s="339">
        <v>0</v>
      </c>
      <c r="I33" s="339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Y33" s="378"/>
    </row>
    <row r="34" spans="1:25" ht="16.5" thickBot="1">
      <c r="A34" s="294"/>
      <c r="B34" s="295"/>
      <c r="C34" s="296"/>
      <c r="E34">
        <v>436100</v>
      </c>
      <c r="H34" s="339">
        <v>0</v>
      </c>
      <c r="I34" s="339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Y34" s="378"/>
    </row>
    <row r="35" spans="1:25">
      <c r="E35">
        <v>449210</v>
      </c>
      <c r="H35" s="339">
        <v>0</v>
      </c>
      <c r="I35" s="339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Y35" s="378"/>
    </row>
    <row r="36" spans="1:25" ht="18.75">
      <c r="A36" s="384" t="s">
        <v>237</v>
      </c>
      <c r="B36" s="383">
        <f>+IFERROR(COUNTA($H$4:$H$1000)/COUNTA($E$4:$E$1000)*100,0)</f>
        <v>100</v>
      </c>
      <c r="C36" t="s">
        <v>510</v>
      </c>
      <c r="E36">
        <v>451320</v>
      </c>
      <c r="H36" s="339">
        <v>0</v>
      </c>
      <c r="I36" s="339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Y36" s="378"/>
    </row>
    <row r="37" spans="1:25">
      <c r="E37">
        <v>453722</v>
      </c>
      <c r="H37" s="339">
        <v>99</v>
      </c>
      <c r="I37" s="339">
        <v>99</v>
      </c>
      <c r="J37">
        <v>99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Y37" s="378"/>
    </row>
    <row r="38" spans="1:25">
      <c r="E38">
        <v>644889</v>
      </c>
      <c r="H38" s="339">
        <v>0</v>
      </c>
      <c r="I38" s="339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Y38" s="378"/>
    </row>
    <row r="39" spans="1:25">
      <c r="E39">
        <v>844276</v>
      </c>
      <c r="H39" s="339">
        <v>0</v>
      </c>
      <c r="I39" s="3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Y39" s="378"/>
    </row>
    <row r="40" spans="1:25">
      <c r="E40">
        <v>887730</v>
      </c>
      <c r="H40" s="339">
        <v>0</v>
      </c>
      <c r="I40" s="339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Y40" s="378"/>
    </row>
    <row r="41" spans="1:25">
      <c r="E41">
        <v>911720</v>
      </c>
      <c r="H41" s="339">
        <v>0</v>
      </c>
      <c r="I41" s="339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Y41" s="378"/>
    </row>
    <row r="42" spans="1:25">
      <c r="E42">
        <v>920452</v>
      </c>
      <c r="H42" s="339">
        <v>0</v>
      </c>
      <c r="I42" s="339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Y42" s="378"/>
    </row>
    <row r="43" spans="1:25">
      <c r="E43">
        <v>979937</v>
      </c>
      <c r="H43" s="339">
        <v>0</v>
      </c>
      <c r="I43" s="339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Y43" s="378"/>
    </row>
    <row r="44" spans="1:25">
      <c r="E44">
        <v>999431</v>
      </c>
      <c r="H44" s="339">
        <v>0</v>
      </c>
      <c r="I44" s="339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Y44" s="378"/>
    </row>
    <row r="45" spans="1:25">
      <c r="E45">
        <v>1022482</v>
      </c>
      <c r="H45" s="339">
        <v>0</v>
      </c>
      <c r="I45" s="339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Y45" s="378"/>
    </row>
    <row r="46" spans="1:25">
      <c r="E46">
        <v>1069152</v>
      </c>
      <c r="H46" s="339">
        <v>0</v>
      </c>
      <c r="I46" s="339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Y46" s="378"/>
    </row>
    <row r="47" spans="1:25">
      <c r="E47">
        <v>1076663</v>
      </c>
      <c r="H47" s="339">
        <v>0</v>
      </c>
      <c r="I47" s="339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Y47" s="378"/>
    </row>
    <row r="48" spans="1:25">
      <c r="E48">
        <v>1100416</v>
      </c>
      <c r="H48" s="339">
        <v>0</v>
      </c>
      <c r="I48" s="339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Y48" s="378"/>
    </row>
    <row r="49" spans="5:25">
      <c r="E49">
        <v>1125044</v>
      </c>
      <c r="H49" s="339">
        <v>0</v>
      </c>
      <c r="I49" s="33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Y49" s="378"/>
    </row>
    <row r="50" spans="5:25">
      <c r="E50">
        <v>1127543</v>
      </c>
      <c r="H50" s="339">
        <v>0</v>
      </c>
      <c r="I50" s="339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Y50" s="378"/>
    </row>
    <row r="51" spans="5:25">
      <c r="E51">
        <v>1134019</v>
      </c>
      <c r="H51" s="339">
        <v>0</v>
      </c>
      <c r="I51" s="339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Y51" s="378"/>
    </row>
    <row r="52" spans="5:25">
      <c r="E52">
        <v>1138847</v>
      </c>
      <c r="H52" s="339">
        <v>0</v>
      </c>
      <c r="I52" s="339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Y52" s="378"/>
    </row>
    <row r="53" spans="5:25">
      <c r="E53">
        <v>1170481</v>
      </c>
      <c r="H53" s="339">
        <v>0</v>
      </c>
      <c r="I53" s="339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Y53" s="378"/>
    </row>
    <row r="54" spans="5:25">
      <c r="E54">
        <v>1178105</v>
      </c>
      <c r="H54" s="339">
        <v>0</v>
      </c>
      <c r="I54" s="339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Y54" s="378"/>
    </row>
    <row r="55" spans="5:25">
      <c r="E55">
        <v>1504029</v>
      </c>
      <c r="H55" s="339">
        <v>0</v>
      </c>
      <c r="I55" s="339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Y55" s="378"/>
    </row>
    <row r="56" spans="5:25">
      <c r="E56">
        <v>1505688</v>
      </c>
      <c r="H56" s="339">
        <v>0</v>
      </c>
      <c r="I56" s="339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Y56" s="378"/>
    </row>
    <row r="57" spans="5:25">
      <c r="E57">
        <v>1536354</v>
      </c>
      <c r="H57" s="339">
        <v>0</v>
      </c>
      <c r="I57" s="339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Y57" s="378"/>
    </row>
    <row r="58" spans="5:25">
      <c r="E58">
        <v>1574140</v>
      </c>
      <c r="H58" s="339">
        <v>0</v>
      </c>
      <c r="I58" s="339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Y58" s="378"/>
    </row>
    <row r="59" spans="5:25">
      <c r="E59">
        <v>1663887</v>
      </c>
      <c r="H59" s="339">
        <v>0</v>
      </c>
      <c r="I59" s="33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Y59" s="378"/>
    </row>
    <row r="60" spans="5:25">
      <c r="E60">
        <v>1682326</v>
      </c>
      <c r="H60" s="339">
        <v>0</v>
      </c>
      <c r="I60" s="339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Y60" s="378"/>
    </row>
    <row r="61" spans="5:25">
      <c r="E61">
        <v>1682644</v>
      </c>
      <c r="H61" s="339">
        <v>0</v>
      </c>
      <c r="I61" s="339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Y61" s="378"/>
    </row>
    <row r="62" spans="5:25">
      <c r="E62">
        <v>1725629</v>
      </c>
      <c r="H62" s="339">
        <v>0</v>
      </c>
      <c r="I62" s="339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Y62" s="378"/>
    </row>
    <row r="63" spans="5:25">
      <c r="E63">
        <v>1728563</v>
      </c>
      <c r="H63" s="339">
        <v>0</v>
      </c>
      <c r="I63" s="339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Y63" s="378"/>
    </row>
    <row r="64" spans="5:25">
      <c r="E64">
        <v>1754599</v>
      </c>
      <c r="H64" s="339">
        <v>0</v>
      </c>
      <c r="I64" s="339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Y64" s="378"/>
    </row>
    <row r="65" spans="5:25">
      <c r="E65">
        <v>1766589</v>
      </c>
      <c r="H65" s="339">
        <v>0</v>
      </c>
      <c r="I65" s="339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Y65" s="378"/>
    </row>
    <row r="66" spans="5:25">
      <c r="E66">
        <v>1780050</v>
      </c>
      <c r="H66" s="339">
        <v>8</v>
      </c>
      <c r="I66" s="339">
        <v>8</v>
      </c>
      <c r="J66">
        <v>4</v>
      </c>
      <c r="K66">
        <v>0</v>
      </c>
      <c r="L66">
        <v>0</v>
      </c>
      <c r="M66">
        <v>0</v>
      </c>
      <c r="N66">
        <v>2</v>
      </c>
      <c r="O66">
        <v>0</v>
      </c>
      <c r="P66">
        <v>0</v>
      </c>
      <c r="Q66">
        <v>0</v>
      </c>
      <c r="R66">
        <v>2</v>
      </c>
      <c r="S66">
        <v>0</v>
      </c>
      <c r="T66">
        <v>0</v>
      </c>
      <c r="U66">
        <v>0</v>
      </c>
      <c r="Y66" s="378"/>
    </row>
    <row r="67" spans="5:25">
      <c r="E67">
        <v>1823132</v>
      </c>
      <c r="H67" s="339">
        <v>0</v>
      </c>
      <c r="I67" s="339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Y67" s="378"/>
    </row>
    <row r="68" spans="5:25">
      <c r="E68">
        <v>1827766</v>
      </c>
      <c r="H68" s="339">
        <v>0</v>
      </c>
      <c r="I68" s="339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Y68" s="378"/>
    </row>
    <row r="69" spans="5:25">
      <c r="E69">
        <v>1841963</v>
      </c>
      <c r="H69" s="339">
        <v>0</v>
      </c>
      <c r="I69" s="33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Y69" s="378"/>
    </row>
    <row r="70" spans="5:25">
      <c r="E70">
        <v>1885359</v>
      </c>
      <c r="H70" s="339">
        <v>0</v>
      </c>
      <c r="I70" s="339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Y70" s="378"/>
    </row>
    <row r="71" spans="5:25">
      <c r="E71">
        <v>1898078</v>
      </c>
      <c r="H71" s="339">
        <v>0</v>
      </c>
      <c r="I71" s="339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Y71" s="378"/>
    </row>
    <row r="72" spans="5:25">
      <c r="E72">
        <v>1924583</v>
      </c>
      <c r="H72" s="339">
        <v>0</v>
      </c>
      <c r="I72" s="339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Y72" s="378"/>
    </row>
    <row r="73" spans="5:25">
      <c r="E73">
        <v>1930737</v>
      </c>
      <c r="H73" s="339">
        <v>0</v>
      </c>
      <c r="I73" s="339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Y73" s="378"/>
    </row>
    <row r="74" spans="5:25">
      <c r="E74">
        <v>1986120</v>
      </c>
      <c r="H74" s="339">
        <v>0</v>
      </c>
      <c r="I74" s="339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Y74" s="378"/>
    </row>
    <row r="75" spans="5:25">
      <c r="E75">
        <v>2029510</v>
      </c>
      <c r="H75" s="339">
        <v>0</v>
      </c>
      <c r="I75" s="339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Y75" s="378"/>
    </row>
    <row r="76" spans="5:25">
      <c r="E76">
        <v>2068710</v>
      </c>
      <c r="H76" s="339">
        <v>0</v>
      </c>
      <c r="I76" s="339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Y76" s="378"/>
    </row>
    <row r="77" spans="5:25">
      <c r="E77">
        <v>2091852</v>
      </c>
      <c r="H77" s="339">
        <v>0</v>
      </c>
      <c r="I77" s="339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Y77" s="378"/>
    </row>
    <row r="78" spans="5:25">
      <c r="E78">
        <v>2114623</v>
      </c>
      <c r="H78" s="339">
        <v>0</v>
      </c>
      <c r="I78" s="339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Y78" s="378"/>
    </row>
    <row r="79" spans="5:25">
      <c r="E79">
        <v>2130270</v>
      </c>
      <c r="H79" s="339">
        <v>0</v>
      </c>
      <c r="I79" s="33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Y79" s="378"/>
    </row>
    <row r="80" spans="5:25">
      <c r="E80">
        <v>2133520</v>
      </c>
      <c r="H80" s="339">
        <v>0</v>
      </c>
      <c r="I80" s="339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Y80" s="378"/>
    </row>
    <row r="81" spans="5:25">
      <c r="E81">
        <v>2133563</v>
      </c>
      <c r="H81" s="339">
        <v>0</v>
      </c>
      <c r="I81" s="339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Y81" s="378"/>
    </row>
    <row r="82" spans="5:25">
      <c r="E82">
        <v>2133830</v>
      </c>
      <c r="H82" s="339">
        <v>0</v>
      </c>
      <c r="I82" s="339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Y82" s="378"/>
    </row>
    <row r="83" spans="5:25">
      <c r="E83">
        <v>2184370</v>
      </c>
      <c r="H83" s="339">
        <v>0</v>
      </c>
      <c r="I83" s="339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Y83" s="378"/>
    </row>
    <row r="84" spans="5:25">
      <c r="E84">
        <v>2199335</v>
      </c>
      <c r="H84" s="339">
        <v>0</v>
      </c>
      <c r="I84" s="339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Y84" s="378"/>
    </row>
    <row r="85" spans="5:25">
      <c r="E85">
        <v>2206978</v>
      </c>
      <c r="H85" s="339">
        <v>99</v>
      </c>
      <c r="I85" s="339">
        <v>99</v>
      </c>
      <c r="J85">
        <v>99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Y85" s="378"/>
    </row>
    <row r="86" spans="5:25">
      <c r="E86">
        <v>2222558</v>
      </c>
      <c r="H86" s="339">
        <v>0</v>
      </c>
      <c r="I86" s="339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Y86" s="378"/>
    </row>
    <row r="87" spans="5:25">
      <c r="E87">
        <v>2229765</v>
      </c>
      <c r="H87" s="339">
        <v>0</v>
      </c>
      <c r="I87" s="339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Y87" s="378"/>
    </row>
    <row r="88" spans="5:25">
      <c r="E88">
        <v>2232014</v>
      </c>
      <c r="H88" s="339">
        <v>0</v>
      </c>
      <c r="I88" s="339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Y88" s="378"/>
    </row>
    <row r="89" spans="5:25">
      <c r="E89">
        <v>2236648</v>
      </c>
      <c r="H89" s="339">
        <v>1</v>
      </c>
      <c r="I89" s="339">
        <v>1</v>
      </c>
      <c r="J89">
        <v>1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Y89" s="378"/>
    </row>
    <row r="90" spans="5:25">
      <c r="E90">
        <v>2238845</v>
      </c>
      <c r="H90" s="339">
        <v>0</v>
      </c>
      <c r="I90" s="339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Y90" s="378"/>
    </row>
    <row r="91" spans="5:25">
      <c r="E91">
        <v>2251280</v>
      </c>
      <c r="H91" s="339">
        <v>0</v>
      </c>
      <c r="I91" s="339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Y91" s="378"/>
    </row>
    <row r="92" spans="5:25">
      <c r="E92">
        <v>2257726</v>
      </c>
      <c r="H92" s="339">
        <v>0</v>
      </c>
      <c r="I92" s="339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Y92" s="378"/>
    </row>
    <row r="93" spans="5:25">
      <c r="E93">
        <v>2292440</v>
      </c>
      <c r="H93" s="339">
        <v>0</v>
      </c>
      <c r="I93" s="339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Y93" s="378"/>
    </row>
    <row r="94" spans="5:25">
      <c r="E94">
        <v>2347016</v>
      </c>
      <c r="H94" s="339">
        <v>99</v>
      </c>
      <c r="I94" s="339">
        <v>99</v>
      </c>
      <c r="J94">
        <v>99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Y94" s="378"/>
    </row>
    <row r="95" spans="5:25">
      <c r="E95">
        <v>2400664</v>
      </c>
      <c r="H95" s="339">
        <v>0</v>
      </c>
      <c r="I95" s="339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Y95" s="378"/>
    </row>
    <row r="96" spans="5:25">
      <c r="E96">
        <v>2403474</v>
      </c>
      <c r="H96" s="339">
        <v>99</v>
      </c>
      <c r="I96" s="339">
        <v>99</v>
      </c>
      <c r="J96">
        <v>99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Y96" s="378"/>
    </row>
    <row r="97" spans="5:25">
      <c r="E97">
        <v>2403711</v>
      </c>
      <c r="H97" s="339">
        <v>0</v>
      </c>
      <c r="I97" s="339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Y97" s="378"/>
    </row>
    <row r="98" spans="5:25">
      <c r="E98">
        <v>2405291</v>
      </c>
      <c r="H98" s="339">
        <v>0</v>
      </c>
      <c r="I98" s="339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Y98" s="378"/>
    </row>
    <row r="99" spans="5:25">
      <c r="E99">
        <v>2406157</v>
      </c>
      <c r="H99" s="339">
        <v>0</v>
      </c>
      <c r="I99" s="33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Y99" s="378"/>
    </row>
    <row r="100" spans="5:25">
      <c r="E100">
        <v>2407515</v>
      </c>
      <c r="H100" s="339">
        <v>0</v>
      </c>
      <c r="I100" s="339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Y100" s="378"/>
    </row>
    <row r="101" spans="5:25">
      <c r="E101">
        <v>2411522</v>
      </c>
      <c r="H101" s="339">
        <v>0</v>
      </c>
      <c r="I101" s="339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</row>
    <row r="102" spans="5:25">
      <c r="E102">
        <v>2412100</v>
      </c>
      <c r="H102" s="339">
        <v>0</v>
      </c>
      <c r="I102" s="339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</row>
    <row r="103" spans="5:25">
      <c r="E103">
        <v>2412803</v>
      </c>
      <c r="H103" s="339">
        <v>0</v>
      </c>
      <c r="I103" s="339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</row>
    <row r="104" spans="5:25">
      <c r="E104">
        <v>2413214</v>
      </c>
      <c r="H104" s="339">
        <v>0</v>
      </c>
      <c r="I104" s="339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</row>
    <row r="105" spans="5:25">
      <c r="E105">
        <v>2415913</v>
      </c>
      <c r="H105" s="339">
        <v>0</v>
      </c>
      <c r="I105" s="339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</row>
    <row r="106" spans="5:25">
      <c r="E106">
        <v>2416430</v>
      </c>
      <c r="H106" s="339">
        <v>0</v>
      </c>
      <c r="I106" s="339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</row>
    <row r="107" spans="5:25">
      <c r="E107">
        <v>2419272</v>
      </c>
      <c r="H107" s="339">
        <v>0</v>
      </c>
      <c r="I107" s="339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</row>
    <row r="108" spans="5:25">
      <c r="E108">
        <v>2421679</v>
      </c>
      <c r="H108" s="339">
        <v>0</v>
      </c>
      <c r="I108" s="339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</row>
    <row r="109" spans="5:25">
      <c r="E109">
        <v>2424340</v>
      </c>
      <c r="H109" s="339">
        <v>105</v>
      </c>
      <c r="I109" s="339">
        <v>105</v>
      </c>
      <c r="J109">
        <v>6</v>
      </c>
      <c r="K109">
        <v>99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</row>
    <row r="110" spans="5:25">
      <c r="E110">
        <v>2425279</v>
      </c>
      <c r="H110" s="339">
        <v>8</v>
      </c>
      <c r="I110" s="339">
        <v>8</v>
      </c>
      <c r="J110">
        <v>0</v>
      </c>
      <c r="K110">
        <v>0</v>
      </c>
      <c r="L110">
        <v>0</v>
      </c>
      <c r="M110">
        <v>0</v>
      </c>
      <c r="N110">
        <v>4</v>
      </c>
      <c r="O110">
        <v>0</v>
      </c>
      <c r="P110">
        <v>0</v>
      </c>
      <c r="Q110">
        <v>0</v>
      </c>
      <c r="R110">
        <v>4</v>
      </c>
      <c r="S110">
        <v>0</v>
      </c>
      <c r="T110">
        <v>0</v>
      </c>
      <c r="U110">
        <v>0</v>
      </c>
    </row>
    <row r="111" spans="5:25">
      <c r="E111">
        <v>2426608</v>
      </c>
      <c r="H111" s="339">
        <v>0</v>
      </c>
      <c r="I111" s="339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</row>
    <row r="112" spans="5:25">
      <c r="E112">
        <v>2427846</v>
      </c>
      <c r="H112" s="339">
        <v>0</v>
      </c>
      <c r="I112" s="339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</row>
    <row r="113" spans="5:21">
      <c r="E113">
        <v>2429969</v>
      </c>
      <c r="H113" s="339">
        <v>0</v>
      </c>
      <c r="I113" s="339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</row>
    <row r="114" spans="5:21">
      <c r="E114">
        <v>2430419</v>
      </c>
      <c r="H114" s="339">
        <v>0</v>
      </c>
      <c r="I114" s="339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</row>
    <row r="115" spans="5:21">
      <c r="E115">
        <v>2436350</v>
      </c>
      <c r="H115" s="339">
        <v>0</v>
      </c>
      <c r="I115" s="339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</row>
    <row r="116" spans="5:21">
      <c r="E116">
        <v>2459250</v>
      </c>
      <c r="H116" s="339">
        <v>0</v>
      </c>
      <c r="I116" s="339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</row>
    <row r="117" spans="5:21">
      <c r="E117">
        <v>2459653</v>
      </c>
      <c r="H117" s="339">
        <v>0</v>
      </c>
      <c r="I117" s="339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</row>
    <row r="118" spans="5:21">
      <c r="E118">
        <v>2462604</v>
      </c>
      <c r="H118" s="339">
        <v>0</v>
      </c>
      <c r="I118" s="339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</row>
    <row r="119" spans="5:21">
      <c r="E119">
        <v>2464110</v>
      </c>
      <c r="H119" s="339">
        <v>0</v>
      </c>
      <c r="I119" s="33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</row>
    <row r="120" spans="5:21">
      <c r="E120">
        <v>2466200</v>
      </c>
      <c r="H120" s="339">
        <v>0</v>
      </c>
      <c r="I120" s="339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</row>
    <row r="121" spans="5:21">
      <c r="E121">
        <v>2480415</v>
      </c>
      <c r="H121" s="339">
        <v>0</v>
      </c>
      <c r="I121" s="339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</row>
    <row r="122" spans="5:21">
      <c r="E122">
        <v>2484830</v>
      </c>
      <c r="H122" s="339">
        <v>0</v>
      </c>
      <c r="I122" s="339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</row>
    <row r="123" spans="5:21">
      <c r="E123">
        <v>2487669</v>
      </c>
      <c r="H123" s="339">
        <v>0</v>
      </c>
      <c r="I123" s="339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</row>
    <row r="124" spans="5:21">
      <c r="E124">
        <v>2494609</v>
      </c>
      <c r="H124" s="339">
        <v>0</v>
      </c>
      <c r="I124" s="339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</row>
    <row r="125" spans="5:21">
      <c r="E125">
        <v>2494760</v>
      </c>
      <c r="H125" s="339">
        <v>0</v>
      </c>
      <c r="I125" s="339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</row>
    <row r="126" spans="5:21">
      <c r="E126">
        <v>2495342</v>
      </c>
      <c r="H126" s="339">
        <v>0</v>
      </c>
      <c r="I126" s="339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</row>
    <row r="127" spans="5:21">
      <c r="E127">
        <v>2496962</v>
      </c>
      <c r="H127" s="339">
        <v>0</v>
      </c>
      <c r="I127" s="339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</row>
    <row r="128" spans="5:21">
      <c r="E128">
        <v>2501049</v>
      </c>
      <c r="H128" s="339">
        <v>0</v>
      </c>
      <c r="I128" s="339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</row>
    <row r="129" spans="5:21">
      <c r="E129">
        <v>2505970</v>
      </c>
      <c r="H129" s="339">
        <v>0</v>
      </c>
      <c r="I129" s="33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</row>
    <row r="130" spans="5:21">
      <c r="E130">
        <v>2508980</v>
      </c>
      <c r="H130" s="339">
        <v>0</v>
      </c>
      <c r="I130" s="339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</row>
    <row r="131" spans="5:21">
      <c r="E131">
        <v>2509143</v>
      </c>
      <c r="H131" s="339">
        <v>105</v>
      </c>
      <c r="I131" s="339">
        <v>105</v>
      </c>
      <c r="J131">
        <v>6</v>
      </c>
      <c r="K131">
        <v>99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</row>
    <row r="132" spans="5:21">
      <c r="E132">
        <v>2509850</v>
      </c>
      <c r="H132" s="339">
        <v>0</v>
      </c>
      <c r="I132" s="339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</row>
    <row r="133" spans="5:21">
      <c r="E133">
        <v>2511110</v>
      </c>
      <c r="H133" s="339">
        <v>0</v>
      </c>
      <c r="I133" s="339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</row>
    <row r="134" spans="5:21">
      <c r="E134">
        <v>2520727</v>
      </c>
      <c r="H134" s="339">
        <v>0</v>
      </c>
      <c r="I134" s="339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</row>
    <row r="135" spans="5:21">
      <c r="E135">
        <v>2520916</v>
      </c>
      <c r="H135" s="339">
        <v>0</v>
      </c>
      <c r="I135" s="339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</row>
    <row r="136" spans="5:21">
      <c r="E136">
        <v>2521460</v>
      </c>
      <c r="H136" s="339">
        <v>0</v>
      </c>
      <c r="I136" s="339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</row>
    <row r="137" spans="5:21">
      <c r="E137">
        <v>2521541</v>
      </c>
      <c r="H137" s="339">
        <v>1</v>
      </c>
      <c r="I137" s="339">
        <v>1</v>
      </c>
      <c r="J137">
        <v>1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</row>
    <row r="138" spans="5:21">
      <c r="E138">
        <v>2523290</v>
      </c>
      <c r="H138" s="339">
        <v>0</v>
      </c>
      <c r="I138" s="339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</row>
    <row r="139" spans="5:21">
      <c r="E139">
        <v>2524884</v>
      </c>
      <c r="H139" s="339">
        <v>0</v>
      </c>
      <c r="I139" s="3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</row>
    <row r="140" spans="5:21">
      <c r="E140">
        <v>2529614</v>
      </c>
      <c r="H140" s="339">
        <v>0</v>
      </c>
      <c r="I140" s="339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</row>
    <row r="141" spans="5:21">
      <c r="E141">
        <v>2531177</v>
      </c>
      <c r="H141" s="339">
        <v>0</v>
      </c>
      <c r="I141" s="339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</row>
    <row r="142" spans="5:21">
      <c r="E142">
        <v>2533530</v>
      </c>
      <c r="H142" s="339">
        <v>0</v>
      </c>
      <c r="I142" s="339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</row>
    <row r="143" spans="5:21">
      <c r="E143">
        <v>2534465</v>
      </c>
      <c r="H143" s="339">
        <v>0</v>
      </c>
      <c r="I143" s="339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</row>
    <row r="144" spans="5:21">
      <c r="E144">
        <v>2535733</v>
      </c>
      <c r="H144" s="339">
        <v>0</v>
      </c>
      <c r="I144" s="339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</row>
    <row r="145" spans="5:21">
      <c r="E145">
        <v>2536013</v>
      </c>
      <c r="H145" s="339">
        <v>0</v>
      </c>
      <c r="I145" s="339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</row>
    <row r="146" spans="5:21">
      <c r="E146">
        <v>2536311</v>
      </c>
      <c r="H146" s="339">
        <v>0</v>
      </c>
      <c r="I146" s="339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</row>
    <row r="147" spans="5:21">
      <c r="E147">
        <v>2536385</v>
      </c>
      <c r="H147" s="339">
        <v>0</v>
      </c>
      <c r="I147" s="339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</row>
    <row r="148" spans="5:21">
      <c r="H148" s="339"/>
      <c r="I148" s="339"/>
    </row>
    <row r="149" spans="5:21">
      <c r="H149" s="339"/>
      <c r="I149" s="339"/>
    </row>
    <row r="150" spans="5:21">
      <c r="H150" s="339"/>
      <c r="I150" s="339"/>
    </row>
    <row r="151" spans="5:21">
      <c r="H151" s="339"/>
      <c r="I151" s="339"/>
    </row>
    <row r="152" spans="5:21">
      <c r="H152" s="339"/>
      <c r="I152" s="339"/>
    </row>
    <row r="153" spans="5:21">
      <c r="H153" s="339"/>
      <c r="I153" s="339"/>
    </row>
    <row r="154" spans="5:21">
      <c r="H154" s="339"/>
      <c r="I154" s="339"/>
    </row>
    <row r="155" spans="5:21">
      <c r="H155" s="339"/>
      <c r="I155" s="339"/>
    </row>
    <row r="156" spans="5:21">
      <c r="H156" s="339"/>
      <c r="I156" s="339"/>
    </row>
    <row r="157" spans="5:21">
      <c r="H157" s="339"/>
      <c r="I157" s="339"/>
    </row>
    <row r="158" spans="5:21">
      <c r="H158" s="339"/>
      <c r="I158" s="339"/>
    </row>
    <row r="159" spans="5:21">
      <c r="H159" s="339"/>
      <c r="I159" s="339"/>
    </row>
    <row r="160" spans="5:21">
      <c r="H160" s="339"/>
      <c r="I160" s="339"/>
    </row>
    <row r="161" spans="8:9">
      <c r="H161" s="339"/>
      <c r="I161" s="339"/>
    </row>
    <row r="162" spans="8:9">
      <c r="H162" s="339"/>
      <c r="I162" s="339"/>
    </row>
    <row r="163" spans="8:9">
      <c r="H163" s="339"/>
      <c r="I163" s="339"/>
    </row>
    <row r="164" spans="8:9">
      <c r="H164" s="339"/>
      <c r="I164" s="339"/>
    </row>
    <row r="165" spans="8:9">
      <c r="H165" s="339"/>
      <c r="I165" s="339"/>
    </row>
    <row r="166" spans="8:9">
      <c r="H166" s="339"/>
      <c r="I166" s="339"/>
    </row>
    <row r="167" spans="8:9">
      <c r="H167" s="339"/>
      <c r="I167" s="339"/>
    </row>
    <row r="168" spans="8:9">
      <c r="H168" s="339"/>
      <c r="I168" s="339"/>
    </row>
    <row r="169" spans="8:9">
      <c r="H169" s="339"/>
      <c r="I169" s="339"/>
    </row>
    <row r="170" spans="8:9">
      <c r="H170" s="339"/>
      <c r="I170" s="339"/>
    </row>
    <row r="171" spans="8:9">
      <c r="H171" s="339"/>
      <c r="I171" s="339"/>
    </row>
    <row r="172" spans="8:9">
      <c r="H172" s="339"/>
      <c r="I172" s="339"/>
    </row>
    <row r="173" spans="8:9">
      <c r="H173" s="339"/>
      <c r="I173" s="339"/>
    </row>
    <row r="174" spans="8:9">
      <c r="H174" s="339"/>
      <c r="I174" s="339"/>
    </row>
    <row r="175" spans="8:9">
      <c r="H175" s="339"/>
      <c r="I175" s="339"/>
    </row>
    <row r="176" spans="8:9">
      <c r="H176" s="339"/>
      <c r="I176" s="339"/>
    </row>
    <row r="177" spans="8:9">
      <c r="H177" s="339"/>
      <c r="I177" s="339"/>
    </row>
    <row r="178" spans="8:9">
      <c r="H178" s="339"/>
      <c r="I178" s="339"/>
    </row>
    <row r="179" spans="8:9">
      <c r="H179" s="339"/>
      <c r="I179" s="339"/>
    </row>
    <row r="180" spans="8:9">
      <c r="H180" s="339"/>
      <c r="I180" s="339"/>
    </row>
    <row r="181" spans="8:9">
      <c r="H181" s="339"/>
      <c r="I181" s="339"/>
    </row>
    <row r="182" spans="8:9">
      <c r="H182" s="339"/>
      <c r="I182" s="339"/>
    </row>
    <row r="183" spans="8:9">
      <c r="H183" s="339"/>
      <c r="I183" s="339"/>
    </row>
    <row r="184" spans="8:9">
      <c r="H184" s="339"/>
      <c r="I184" s="339"/>
    </row>
    <row r="185" spans="8:9">
      <c r="H185" s="339"/>
      <c r="I185" s="339"/>
    </row>
    <row r="186" spans="8:9">
      <c r="H186" s="339"/>
      <c r="I186" s="339"/>
    </row>
    <row r="187" spans="8:9">
      <c r="H187" s="339"/>
      <c r="I187" s="339"/>
    </row>
    <row r="188" spans="8:9">
      <c r="H188" s="339"/>
      <c r="I188" s="339"/>
    </row>
    <row r="189" spans="8:9">
      <c r="H189" s="339"/>
      <c r="I189" s="339"/>
    </row>
    <row r="190" spans="8:9">
      <c r="H190" s="339"/>
      <c r="I190" s="339"/>
    </row>
    <row r="191" spans="8:9">
      <c r="H191" s="339"/>
      <c r="I191" s="339"/>
    </row>
    <row r="192" spans="8:9">
      <c r="H192" s="339"/>
      <c r="I192" s="339"/>
    </row>
    <row r="193" spans="8:9">
      <c r="H193" s="339"/>
      <c r="I193" s="339"/>
    </row>
    <row r="194" spans="8:9">
      <c r="H194" s="339"/>
      <c r="I194" s="339"/>
    </row>
    <row r="195" spans="8:9">
      <c r="H195" s="339"/>
      <c r="I195" s="339"/>
    </row>
    <row r="196" spans="8:9">
      <c r="H196" s="339"/>
      <c r="I196" s="339"/>
    </row>
    <row r="197" spans="8:9">
      <c r="H197" s="339"/>
      <c r="I197" s="339"/>
    </row>
    <row r="198" spans="8:9">
      <c r="H198" s="339"/>
      <c r="I198" s="339"/>
    </row>
    <row r="199" spans="8:9">
      <c r="H199" s="339"/>
      <c r="I199" s="339"/>
    </row>
    <row r="200" spans="8:9">
      <c r="H200" s="339"/>
      <c r="I200" s="339"/>
    </row>
    <row r="201" spans="8:9">
      <c r="H201" s="339"/>
      <c r="I201" s="339"/>
    </row>
    <row r="202" spans="8:9">
      <c r="H202" s="339"/>
      <c r="I202" s="339"/>
    </row>
    <row r="203" spans="8:9">
      <c r="H203" s="339"/>
      <c r="I203" s="339"/>
    </row>
    <row r="204" spans="8:9">
      <c r="H204" s="339"/>
      <c r="I204" s="339"/>
    </row>
    <row r="205" spans="8:9">
      <c r="H205" s="339"/>
      <c r="I205" s="339"/>
    </row>
    <row r="206" spans="8:9">
      <c r="H206" s="339"/>
      <c r="I206" s="339"/>
    </row>
    <row r="207" spans="8:9">
      <c r="H207" s="339"/>
      <c r="I207" s="339"/>
    </row>
    <row r="208" spans="8:9">
      <c r="H208" s="339"/>
      <c r="I208" s="339"/>
    </row>
    <row r="209" spans="8:9">
      <c r="H209" s="339"/>
      <c r="I209" s="339"/>
    </row>
    <row r="210" spans="8:9">
      <c r="H210" s="339"/>
      <c r="I210" s="339"/>
    </row>
    <row r="211" spans="8:9">
      <c r="H211" s="339"/>
      <c r="I211" s="339"/>
    </row>
    <row r="212" spans="8:9">
      <c r="H212" s="339"/>
      <c r="I212" s="339"/>
    </row>
    <row r="213" spans="8:9">
      <c r="H213" s="339"/>
      <c r="I213" s="339"/>
    </row>
    <row r="214" spans="8:9">
      <c r="H214" s="339"/>
      <c r="I214" s="339"/>
    </row>
    <row r="215" spans="8:9">
      <c r="H215" s="339"/>
      <c r="I215" s="339"/>
    </row>
    <row r="216" spans="8:9">
      <c r="H216" s="339"/>
      <c r="I216" s="339"/>
    </row>
    <row r="217" spans="8:9">
      <c r="H217" s="339"/>
      <c r="I217" s="339"/>
    </row>
    <row r="218" spans="8:9">
      <c r="H218" s="339"/>
      <c r="I218" s="339"/>
    </row>
    <row r="219" spans="8:9">
      <c r="H219" s="339"/>
      <c r="I219" s="339"/>
    </row>
    <row r="220" spans="8:9">
      <c r="H220" s="339"/>
      <c r="I220" s="339"/>
    </row>
    <row r="221" spans="8:9">
      <c r="H221" s="339"/>
      <c r="I221" s="339"/>
    </row>
    <row r="222" spans="8:9">
      <c r="H222" s="339"/>
      <c r="I222" s="339"/>
    </row>
    <row r="223" spans="8:9">
      <c r="H223" s="339"/>
      <c r="I223" s="339"/>
    </row>
    <row r="224" spans="8:9">
      <c r="H224" s="339"/>
      <c r="I224" s="339"/>
    </row>
    <row r="225" spans="8:9">
      <c r="H225" s="339"/>
      <c r="I225" s="339"/>
    </row>
    <row r="226" spans="8:9">
      <c r="H226" s="339"/>
      <c r="I226" s="339"/>
    </row>
    <row r="227" spans="8:9">
      <c r="H227" s="339"/>
      <c r="I227" s="339"/>
    </row>
    <row r="228" spans="8:9">
      <c r="H228" s="339"/>
      <c r="I228" s="339"/>
    </row>
    <row r="229" spans="8:9">
      <c r="H229" s="339"/>
      <c r="I229" s="339"/>
    </row>
    <row r="230" spans="8:9">
      <c r="H230" s="339"/>
      <c r="I230" s="339"/>
    </row>
    <row r="231" spans="8:9">
      <c r="H231" s="339"/>
      <c r="I231" s="339"/>
    </row>
    <row r="232" spans="8:9">
      <c r="H232" s="339"/>
      <c r="I232" s="339"/>
    </row>
    <row r="233" spans="8:9">
      <c r="H233" s="339"/>
      <c r="I233" s="339"/>
    </row>
    <row r="234" spans="8:9">
      <c r="H234" s="339"/>
      <c r="I234" s="339"/>
    </row>
    <row r="235" spans="8:9">
      <c r="H235" s="339"/>
      <c r="I235" s="339"/>
    </row>
    <row r="236" spans="8:9">
      <c r="H236" s="339"/>
      <c r="I236" s="339"/>
    </row>
    <row r="237" spans="8:9">
      <c r="H237" s="339"/>
      <c r="I237" s="339"/>
    </row>
    <row r="238" spans="8:9">
      <c r="H238" s="339"/>
      <c r="I238" s="339"/>
    </row>
    <row r="239" spans="8:9">
      <c r="H239" s="339"/>
      <c r="I239" s="339"/>
    </row>
    <row r="240" spans="8:9">
      <c r="H240" s="339"/>
      <c r="I240" s="339"/>
    </row>
    <row r="241" spans="8:9">
      <c r="H241" s="339"/>
      <c r="I241" s="339"/>
    </row>
    <row r="242" spans="8:9">
      <c r="H242" s="339"/>
      <c r="I242" s="339"/>
    </row>
    <row r="243" spans="8:9">
      <c r="H243" s="339"/>
      <c r="I243" s="339"/>
    </row>
    <row r="244" spans="8:9">
      <c r="H244" s="339"/>
      <c r="I244" s="339"/>
    </row>
    <row r="245" spans="8:9">
      <c r="H245" s="339"/>
      <c r="I245" s="339"/>
    </row>
    <row r="246" spans="8:9">
      <c r="H246" s="339"/>
      <c r="I246" s="339"/>
    </row>
    <row r="247" spans="8:9">
      <c r="H247" s="339"/>
      <c r="I247" s="339"/>
    </row>
    <row r="248" spans="8:9">
      <c r="H248" s="339"/>
      <c r="I248" s="339"/>
    </row>
    <row r="249" spans="8:9">
      <c r="H249" s="339"/>
      <c r="I249" s="339"/>
    </row>
    <row r="250" spans="8:9">
      <c r="H250" s="339"/>
      <c r="I250" s="339"/>
    </row>
    <row r="251" spans="8:9">
      <c r="H251" s="339"/>
      <c r="I251" s="339"/>
    </row>
    <row r="252" spans="8:9">
      <c r="H252" s="339"/>
      <c r="I252" s="339"/>
    </row>
    <row r="253" spans="8:9">
      <c r="H253" s="339"/>
      <c r="I253" s="339"/>
    </row>
    <row r="254" spans="8:9">
      <c r="H254" s="339"/>
      <c r="I254" s="339"/>
    </row>
    <row r="255" spans="8:9">
      <c r="H255" s="339"/>
      <c r="I255" s="339"/>
    </row>
    <row r="256" spans="8:9">
      <c r="H256" s="339"/>
      <c r="I256" s="339"/>
    </row>
    <row r="257" spans="8:9">
      <c r="H257" s="339"/>
      <c r="I257" s="339"/>
    </row>
    <row r="258" spans="8:9">
      <c r="H258" s="339"/>
      <c r="I258" s="339"/>
    </row>
    <row r="259" spans="8:9">
      <c r="H259" s="339"/>
      <c r="I259" s="339"/>
    </row>
    <row r="260" spans="8:9">
      <c r="H260" s="339"/>
      <c r="I260" s="339"/>
    </row>
    <row r="261" spans="8:9">
      <c r="H261" s="339"/>
      <c r="I261" s="339"/>
    </row>
    <row r="262" spans="8:9">
      <c r="H262" s="339"/>
      <c r="I262" s="339"/>
    </row>
    <row r="263" spans="8:9">
      <c r="H263" s="339"/>
      <c r="I263" s="339"/>
    </row>
    <row r="264" spans="8:9">
      <c r="H264" s="339"/>
      <c r="I264" s="339"/>
    </row>
    <row r="265" spans="8:9">
      <c r="H265" s="339"/>
      <c r="I265" s="339"/>
    </row>
    <row r="266" spans="8:9">
      <c r="H266" s="339"/>
      <c r="I266" s="339"/>
    </row>
    <row r="267" spans="8:9">
      <c r="H267" s="339"/>
      <c r="I267" s="339"/>
    </row>
    <row r="268" spans="8:9">
      <c r="H268" s="339"/>
      <c r="I268" s="339"/>
    </row>
    <row r="269" spans="8:9">
      <c r="H269" s="339"/>
      <c r="I269" s="339"/>
    </row>
    <row r="270" spans="8:9">
      <c r="H270" s="339"/>
      <c r="I270" s="339"/>
    </row>
    <row r="271" spans="8:9">
      <c r="H271" s="339"/>
      <c r="I271" s="339"/>
    </row>
    <row r="272" spans="8:9">
      <c r="H272" s="339"/>
      <c r="I272" s="339"/>
    </row>
    <row r="273" spans="8:9">
      <c r="H273" s="339"/>
      <c r="I273" s="339"/>
    </row>
    <row r="274" spans="8:9">
      <c r="H274" s="339"/>
      <c r="I274" s="339"/>
    </row>
    <row r="275" spans="8:9">
      <c r="H275" s="339"/>
      <c r="I275" s="339"/>
    </row>
    <row r="276" spans="8:9">
      <c r="H276" s="339"/>
      <c r="I276" s="339"/>
    </row>
    <row r="277" spans="8:9">
      <c r="H277" s="339"/>
      <c r="I277" s="339"/>
    </row>
    <row r="278" spans="8:9">
      <c r="H278" s="339"/>
      <c r="I278" s="339"/>
    </row>
    <row r="279" spans="8:9">
      <c r="H279" s="339"/>
      <c r="I279" s="339"/>
    </row>
    <row r="280" spans="8:9">
      <c r="H280" s="339"/>
      <c r="I280" s="339"/>
    </row>
    <row r="281" spans="8:9">
      <c r="H281" s="339"/>
      <c r="I281" s="339"/>
    </row>
    <row r="282" spans="8:9">
      <c r="H282" s="339"/>
      <c r="I282" s="339"/>
    </row>
    <row r="283" spans="8:9">
      <c r="H283" s="339"/>
      <c r="I283" s="339"/>
    </row>
    <row r="284" spans="8:9">
      <c r="H284" s="339"/>
      <c r="I284" s="339"/>
    </row>
    <row r="285" spans="8:9">
      <c r="H285" s="339"/>
      <c r="I285" s="339"/>
    </row>
    <row r="286" spans="8:9">
      <c r="H286" s="339"/>
      <c r="I286" s="339"/>
    </row>
    <row r="287" spans="8:9">
      <c r="H287" s="339"/>
      <c r="I287" s="339"/>
    </row>
    <row r="288" spans="8:9">
      <c r="H288" s="339"/>
      <c r="I288" s="339"/>
    </row>
    <row r="289" spans="8:9">
      <c r="H289" s="339"/>
      <c r="I289" s="339"/>
    </row>
    <row r="290" spans="8:9">
      <c r="H290" s="339"/>
      <c r="I290" s="339"/>
    </row>
    <row r="291" spans="8:9">
      <c r="H291" s="339"/>
      <c r="I291" s="339"/>
    </row>
    <row r="292" spans="8:9">
      <c r="H292" s="339"/>
      <c r="I292" s="339"/>
    </row>
    <row r="293" spans="8:9">
      <c r="H293" s="339"/>
      <c r="I293" s="339"/>
    </row>
    <row r="294" spans="8:9">
      <c r="H294" s="339"/>
      <c r="I294" s="339"/>
    </row>
    <row r="295" spans="8:9">
      <c r="H295" s="339"/>
      <c r="I295" s="339"/>
    </row>
    <row r="296" spans="8:9">
      <c r="H296" s="339"/>
      <c r="I296" s="339"/>
    </row>
    <row r="297" spans="8:9">
      <c r="H297" s="339"/>
      <c r="I297" s="339"/>
    </row>
    <row r="298" spans="8:9">
      <c r="H298" s="339"/>
      <c r="I298" s="339"/>
    </row>
    <row r="299" spans="8:9">
      <c r="H299" s="339"/>
      <c r="I299" s="339"/>
    </row>
    <row r="300" spans="8:9">
      <c r="H300" s="339"/>
      <c r="I300" s="339"/>
    </row>
    <row r="301" spans="8:9">
      <c r="H301" s="339"/>
      <c r="I301" s="339"/>
    </row>
    <row r="302" spans="8:9">
      <c r="H302" s="339"/>
      <c r="I302" s="339"/>
    </row>
    <row r="303" spans="8:9">
      <c r="H303" s="339"/>
      <c r="I303" s="339"/>
    </row>
    <row r="304" spans="8:9">
      <c r="H304" s="339"/>
      <c r="I304" s="339"/>
    </row>
    <row r="305" spans="8:9">
      <c r="H305" s="339"/>
      <c r="I305" s="339"/>
    </row>
    <row r="306" spans="8:9">
      <c r="H306" s="339"/>
      <c r="I306" s="339"/>
    </row>
    <row r="307" spans="8:9">
      <c r="H307" s="339"/>
      <c r="I307" s="339"/>
    </row>
    <row r="308" spans="8:9">
      <c r="H308" s="339"/>
      <c r="I308" s="339"/>
    </row>
    <row r="309" spans="8:9">
      <c r="H309" s="339"/>
      <c r="I309" s="339"/>
    </row>
    <row r="310" spans="8:9">
      <c r="H310" s="339"/>
      <c r="I310" s="339"/>
    </row>
    <row r="311" spans="8:9">
      <c r="H311" s="339"/>
      <c r="I311" s="339"/>
    </row>
    <row r="312" spans="8:9">
      <c r="H312" s="339"/>
      <c r="I312" s="339"/>
    </row>
    <row r="313" spans="8:9">
      <c r="H313" s="339"/>
      <c r="I313" s="339"/>
    </row>
    <row r="314" spans="8:9">
      <c r="H314" s="339"/>
      <c r="I314" s="339"/>
    </row>
    <row r="315" spans="8:9">
      <c r="H315" s="339"/>
      <c r="I315" s="339"/>
    </row>
    <row r="316" spans="8:9">
      <c r="H316" s="339"/>
      <c r="I316" s="339"/>
    </row>
    <row r="317" spans="8:9">
      <c r="H317" s="339"/>
      <c r="I317" s="339"/>
    </row>
    <row r="318" spans="8:9">
      <c r="H318" s="339"/>
      <c r="I318" s="339"/>
    </row>
    <row r="319" spans="8:9">
      <c r="H319" s="339"/>
      <c r="I319" s="339"/>
    </row>
    <row r="320" spans="8:9">
      <c r="H320" s="339"/>
      <c r="I320" s="339"/>
    </row>
    <row r="321" spans="8:9">
      <c r="H321" s="339"/>
      <c r="I321" s="339"/>
    </row>
    <row r="322" spans="8:9">
      <c r="H322" s="339"/>
      <c r="I322" s="339"/>
    </row>
    <row r="323" spans="8:9">
      <c r="H323" s="339"/>
      <c r="I323" s="339"/>
    </row>
    <row r="324" spans="8:9">
      <c r="H324" s="339"/>
      <c r="I324" s="339"/>
    </row>
    <row r="325" spans="8:9">
      <c r="H325" s="339"/>
      <c r="I325" s="339"/>
    </row>
    <row r="326" spans="8:9">
      <c r="H326" s="339"/>
      <c r="I326" s="339"/>
    </row>
    <row r="327" spans="8:9">
      <c r="H327" s="339"/>
      <c r="I327" s="339"/>
    </row>
    <row r="328" spans="8:9">
      <c r="H328" s="339"/>
      <c r="I328" s="339"/>
    </row>
    <row r="329" spans="8:9">
      <c r="H329" s="339"/>
      <c r="I329" s="339"/>
    </row>
    <row r="330" spans="8:9">
      <c r="H330" s="339"/>
      <c r="I330" s="339"/>
    </row>
    <row r="331" spans="8:9">
      <c r="H331" s="339"/>
      <c r="I331" s="339"/>
    </row>
    <row r="332" spans="8:9">
      <c r="H332" s="339"/>
      <c r="I332" s="339"/>
    </row>
    <row r="333" spans="8:9">
      <c r="H333" s="339"/>
      <c r="I333" s="339"/>
    </row>
    <row r="334" spans="8:9">
      <c r="H334" s="339"/>
      <c r="I334" s="339"/>
    </row>
    <row r="335" spans="8:9">
      <c r="H335" s="339"/>
      <c r="I335" s="339"/>
    </row>
    <row r="336" spans="8:9">
      <c r="H336" s="339"/>
      <c r="I336" s="339"/>
    </row>
    <row r="337" spans="8:9">
      <c r="H337" s="339"/>
      <c r="I337" s="339"/>
    </row>
    <row r="338" spans="8:9">
      <c r="H338" s="339"/>
      <c r="I338" s="339"/>
    </row>
    <row r="339" spans="8:9">
      <c r="H339" s="339"/>
      <c r="I339" s="339"/>
    </row>
    <row r="340" spans="8:9">
      <c r="H340" s="339"/>
      <c r="I340" s="339"/>
    </row>
    <row r="341" spans="8:9">
      <c r="H341" s="339"/>
      <c r="I341" s="339"/>
    </row>
    <row r="342" spans="8:9">
      <c r="H342" s="339"/>
      <c r="I342" s="339"/>
    </row>
    <row r="343" spans="8:9">
      <c r="H343" s="339"/>
      <c r="I343" s="339"/>
    </row>
    <row r="344" spans="8:9">
      <c r="H344" s="339"/>
      <c r="I344" s="339"/>
    </row>
    <row r="345" spans="8:9">
      <c r="H345" s="339"/>
      <c r="I345" s="339"/>
    </row>
    <row r="346" spans="8:9">
      <c r="H346" s="339"/>
      <c r="I346" s="339"/>
    </row>
    <row r="347" spans="8:9">
      <c r="H347" s="339"/>
      <c r="I347" s="339"/>
    </row>
    <row r="348" spans="8:9">
      <c r="H348" s="339"/>
      <c r="I348" s="339"/>
    </row>
    <row r="349" spans="8:9">
      <c r="H349" s="339"/>
      <c r="I349" s="339"/>
    </row>
    <row r="350" spans="8:9">
      <c r="H350" s="339"/>
      <c r="I350" s="339"/>
    </row>
    <row r="351" spans="8:9">
      <c r="H351" s="339"/>
      <c r="I351" s="339"/>
    </row>
    <row r="352" spans="8:9">
      <c r="H352" s="339"/>
      <c r="I352" s="339"/>
    </row>
    <row r="353" spans="8:9">
      <c r="H353" s="339"/>
      <c r="I353" s="339"/>
    </row>
    <row r="354" spans="8:9">
      <c r="H354" s="339"/>
      <c r="I354" s="339"/>
    </row>
    <row r="355" spans="8:9">
      <c r="H355" s="339"/>
      <c r="I355" s="339"/>
    </row>
    <row r="356" spans="8:9">
      <c r="H356" s="339"/>
      <c r="I356" s="339"/>
    </row>
    <row r="357" spans="8:9">
      <c r="H357" s="339"/>
      <c r="I357" s="339"/>
    </row>
    <row r="358" spans="8:9">
      <c r="H358" s="339"/>
      <c r="I358" s="339"/>
    </row>
    <row r="359" spans="8:9">
      <c r="H359" s="339"/>
      <c r="I359" s="339"/>
    </row>
    <row r="360" spans="8:9">
      <c r="H360" s="339"/>
      <c r="I360" s="339"/>
    </row>
    <row r="361" spans="8:9">
      <c r="H361" s="339"/>
      <c r="I361" s="339"/>
    </row>
    <row r="362" spans="8:9">
      <c r="H362" s="339"/>
      <c r="I362" s="339"/>
    </row>
    <row r="363" spans="8:9">
      <c r="H363" s="339"/>
      <c r="I363" s="339"/>
    </row>
    <row r="364" spans="8:9">
      <c r="H364" s="339"/>
      <c r="I364" s="339"/>
    </row>
    <row r="365" spans="8:9">
      <c r="H365" s="339"/>
      <c r="I365" s="339"/>
    </row>
    <row r="366" spans="8:9">
      <c r="H366" s="339"/>
      <c r="I366" s="339"/>
    </row>
    <row r="367" spans="8:9">
      <c r="H367" s="339"/>
      <c r="I367" s="339"/>
    </row>
    <row r="368" spans="8:9">
      <c r="H368" s="339"/>
      <c r="I368" s="339"/>
    </row>
    <row r="369" spans="8:9">
      <c r="H369" s="339"/>
      <c r="I369" s="339"/>
    </row>
    <row r="370" spans="8:9">
      <c r="H370" s="339"/>
      <c r="I370" s="339"/>
    </row>
    <row r="371" spans="8:9">
      <c r="H371" s="339"/>
      <c r="I371" s="339"/>
    </row>
    <row r="372" spans="8:9">
      <c r="H372" s="339"/>
      <c r="I372" s="339"/>
    </row>
    <row r="373" spans="8:9">
      <c r="H373" s="339"/>
      <c r="I373" s="339"/>
    </row>
    <row r="374" spans="8:9">
      <c r="H374" s="339"/>
      <c r="I374" s="339"/>
    </row>
    <row r="375" spans="8:9">
      <c r="H375" s="339"/>
      <c r="I375" s="339"/>
    </row>
    <row r="376" spans="8:9">
      <c r="H376" s="339"/>
      <c r="I376" s="339"/>
    </row>
    <row r="377" spans="8:9">
      <c r="H377" s="339"/>
      <c r="I377" s="339"/>
    </row>
    <row r="378" spans="8:9">
      <c r="H378" s="339"/>
      <c r="I378" s="339"/>
    </row>
    <row r="379" spans="8:9">
      <c r="H379" s="339"/>
      <c r="I379" s="339"/>
    </row>
    <row r="380" spans="8:9">
      <c r="H380" s="339"/>
      <c r="I380" s="339"/>
    </row>
    <row r="381" spans="8:9">
      <c r="H381" s="339"/>
      <c r="I381" s="339"/>
    </row>
    <row r="382" spans="8:9">
      <c r="H382" s="339"/>
      <c r="I382" s="339"/>
    </row>
    <row r="383" spans="8:9">
      <c r="H383" s="339"/>
      <c r="I383" s="339"/>
    </row>
    <row r="384" spans="8:9">
      <c r="H384" s="339"/>
      <c r="I384" s="339"/>
    </row>
    <row r="385" spans="8:9">
      <c r="H385" s="339"/>
      <c r="I385" s="339"/>
    </row>
    <row r="386" spans="8:9">
      <c r="H386" s="339"/>
      <c r="I386" s="339"/>
    </row>
    <row r="387" spans="8:9">
      <c r="H387" s="339"/>
      <c r="I387" s="339"/>
    </row>
    <row r="388" spans="8:9">
      <c r="H388" s="339"/>
      <c r="I388" s="339"/>
    </row>
    <row r="389" spans="8:9">
      <c r="H389" s="339"/>
      <c r="I389" s="339"/>
    </row>
    <row r="390" spans="8:9">
      <c r="H390" s="339"/>
      <c r="I390" s="339"/>
    </row>
    <row r="391" spans="8:9">
      <c r="H391" s="339"/>
      <c r="I391" s="339"/>
    </row>
    <row r="392" spans="8:9">
      <c r="H392" s="339"/>
      <c r="I392" s="339"/>
    </row>
    <row r="393" spans="8:9">
      <c r="H393" s="339"/>
      <c r="I393" s="339"/>
    </row>
    <row r="394" spans="8:9">
      <c r="H394" s="339"/>
      <c r="I394" s="339"/>
    </row>
    <row r="395" spans="8:9">
      <c r="H395" s="339"/>
      <c r="I395" s="339"/>
    </row>
    <row r="396" spans="8:9">
      <c r="H396" s="339"/>
      <c r="I396" s="339"/>
    </row>
    <row r="397" spans="8:9">
      <c r="H397" s="339"/>
      <c r="I397" s="339"/>
    </row>
    <row r="398" spans="8:9">
      <c r="H398" s="339"/>
      <c r="I398" s="339"/>
    </row>
    <row r="399" spans="8:9">
      <c r="H399" s="339"/>
      <c r="I399" s="339"/>
    </row>
    <row r="400" spans="8:9">
      <c r="H400" s="339"/>
      <c r="I400" s="339"/>
    </row>
    <row r="401" spans="8:9">
      <c r="H401" s="339"/>
      <c r="I401" s="339"/>
    </row>
    <row r="402" spans="8:9">
      <c r="H402" s="339"/>
      <c r="I402" s="339"/>
    </row>
    <row r="403" spans="8:9">
      <c r="H403" s="339"/>
      <c r="I403" s="339"/>
    </row>
    <row r="404" spans="8:9">
      <c r="H404" s="339"/>
      <c r="I404" s="339"/>
    </row>
    <row r="405" spans="8:9">
      <c r="H405" s="339"/>
      <c r="I405" s="339"/>
    </row>
    <row r="406" spans="8:9">
      <c r="H406" s="339"/>
      <c r="I406" s="339"/>
    </row>
    <row r="407" spans="8:9">
      <c r="H407" s="339"/>
      <c r="I407" s="339"/>
    </row>
    <row r="408" spans="8:9">
      <c r="H408" s="339"/>
      <c r="I408" s="339"/>
    </row>
    <row r="409" spans="8:9">
      <c r="H409" s="339"/>
      <c r="I409" s="339"/>
    </row>
    <row r="410" spans="8:9">
      <c r="H410" s="339"/>
      <c r="I410" s="339"/>
    </row>
    <row r="411" spans="8:9">
      <c r="H411" s="339"/>
      <c r="I411" s="339"/>
    </row>
    <row r="412" spans="8:9">
      <c r="H412" s="339"/>
      <c r="I412" s="339"/>
    </row>
    <row r="413" spans="8:9">
      <c r="H413" s="339"/>
      <c r="I413" s="339"/>
    </row>
    <row r="414" spans="8:9">
      <c r="H414" s="339"/>
      <c r="I414" s="339"/>
    </row>
    <row r="415" spans="8:9">
      <c r="H415" s="339"/>
      <c r="I415" s="339"/>
    </row>
    <row r="416" spans="8:9">
      <c r="H416" s="339"/>
      <c r="I416" s="339"/>
    </row>
    <row r="417" spans="8:9">
      <c r="H417" s="339"/>
      <c r="I417" s="339"/>
    </row>
    <row r="418" spans="8:9">
      <c r="H418" s="339"/>
      <c r="I418" s="339"/>
    </row>
    <row r="419" spans="8:9">
      <c r="H419" s="339"/>
      <c r="I419" s="339"/>
    </row>
    <row r="420" spans="8:9">
      <c r="H420" s="339"/>
      <c r="I420" s="339"/>
    </row>
    <row r="421" spans="8:9">
      <c r="H421" s="339"/>
      <c r="I421" s="339"/>
    </row>
    <row r="422" spans="8:9">
      <c r="H422" s="339"/>
      <c r="I422" s="339"/>
    </row>
    <row r="423" spans="8:9">
      <c r="H423" s="339"/>
      <c r="I423" s="339"/>
    </row>
    <row r="424" spans="8:9">
      <c r="H424" s="339"/>
      <c r="I424" s="339"/>
    </row>
    <row r="425" spans="8:9">
      <c r="H425" s="339"/>
      <c r="I425" s="339"/>
    </row>
    <row r="426" spans="8:9">
      <c r="H426" s="339"/>
      <c r="I426" s="339"/>
    </row>
    <row r="427" spans="8:9">
      <c r="H427" s="339"/>
      <c r="I427" s="339"/>
    </row>
    <row r="428" spans="8:9">
      <c r="H428" s="339"/>
      <c r="I428" s="339"/>
    </row>
    <row r="429" spans="8:9">
      <c r="H429" s="339"/>
      <c r="I429" s="339"/>
    </row>
    <row r="430" spans="8:9">
      <c r="H430" s="339"/>
      <c r="I430" s="339"/>
    </row>
    <row r="431" spans="8:9">
      <c r="H431" s="339"/>
      <c r="I431" s="339"/>
    </row>
    <row r="432" spans="8:9">
      <c r="H432" s="339"/>
      <c r="I432" s="339"/>
    </row>
    <row r="433" spans="8:9">
      <c r="H433" s="339"/>
      <c r="I433" s="339"/>
    </row>
    <row r="434" spans="8:9">
      <c r="H434" s="339"/>
      <c r="I434" s="339"/>
    </row>
    <row r="435" spans="8:9">
      <c r="H435" s="339"/>
      <c r="I435" s="339"/>
    </row>
    <row r="436" spans="8:9">
      <c r="H436" s="339"/>
      <c r="I436" s="339"/>
    </row>
    <row r="437" spans="8:9">
      <c r="H437" s="339"/>
      <c r="I437" s="339"/>
    </row>
    <row r="438" spans="8:9">
      <c r="H438" s="339"/>
      <c r="I438" s="339"/>
    </row>
    <row r="439" spans="8:9">
      <c r="H439" s="339"/>
      <c r="I439" s="339"/>
    </row>
    <row r="440" spans="8:9">
      <c r="H440" s="339"/>
      <c r="I440" s="339"/>
    </row>
    <row r="441" spans="8:9">
      <c r="H441" s="339"/>
      <c r="I441" s="339"/>
    </row>
    <row r="442" spans="8:9">
      <c r="H442" s="339"/>
      <c r="I442" s="339"/>
    </row>
    <row r="443" spans="8:9">
      <c r="H443" s="339"/>
      <c r="I443" s="339"/>
    </row>
    <row r="444" spans="8:9">
      <c r="H444" s="339"/>
      <c r="I444" s="339"/>
    </row>
    <row r="445" spans="8:9">
      <c r="H445" s="339"/>
      <c r="I445" s="339"/>
    </row>
    <row r="446" spans="8:9">
      <c r="H446" s="339"/>
      <c r="I446" s="339"/>
    </row>
    <row r="447" spans="8:9">
      <c r="H447" s="339"/>
      <c r="I447" s="339"/>
    </row>
    <row r="448" spans="8:9">
      <c r="H448" s="339"/>
      <c r="I448" s="339"/>
    </row>
    <row r="449" spans="8:9">
      <c r="H449" s="339"/>
      <c r="I449" s="339"/>
    </row>
    <row r="450" spans="8:9">
      <c r="H450" s="339"/>
      <c r="I450" s="339"/>
    </row>
    <row r="451" spans="8:9">
      <c r="H451" s="339"/>
      <c r="I451" s="339"/>
    </row>
    <row r="452" spans="8:9">
      <c r="H452" s="339"/>
      <c r="I452" s="339"/>
    </row>
    <row r="453" spans="8:9">
      <c r="H453" s="339"/>
      <c r="I453" s="339"/>
    </row>
    <row r="454" spans="8:9">
      <c r="H454" s="339"/>
      <c r="I454" s="339"/>
    </row>
    <row r="455" spans="8:9">
      <c r="H455" s="339"/>
      <c r="I455" s="339"/>
    </row>
    <row r="456" spans="8:9">
      <c r="H456" s="339"/>
      <c r="I456" s="339"/>
    </row>
    <row r="457" spans="8:9">
      <c r="H457" s="339"/>
      <c r="I457" s="339"/>
    </row>
    <row r="458" spans="8:9">
      <c r="H458" s="339"/>
      <c r="I458" s="339"/>
    </row>
    <row r="459" spans="8:9">
      <c r="H459" s="339"/>
      <c r="I459" s="339"/>
    </row>
    <row r="460" spans="8:9">
      <c r="H460" s="339"/>
      <c r="I460" s="339"/>
    </row>
    <row r="461" spans="8:9">
      <c r="H461" s="339"/>
      <c r="I461" s="339"/>
    </row>
    <row r="462" spans="8:9">
      <c r="H462" s="339"/>
      <c r="I462" s="339"/>
    </row>
    <row r="463" spans="8:9">
      <c r="H463" s="339"/>
      <c r="I463" s="339"/>
    </row>
    <row r="464" spans="8:9">
      <c r="H464" s="339"/>
      <c r="I464" s="339"/>
    </row>
    <row r="465" spans="8:9">
      <c r="H465" s="339"/>
      <c r="I465" s="339"/>
    </row>
    <row r="466" spans="8:9">
      <c r="H466" s="339"/>
      <c r="I466" s="339"/>
    </row>
    <row r="467" spans="8:9">
      <c r="H467" s="339"/>
      <c r="I467" s="339"/>
    </row>
    <row r="468" spans="8:9">
      <c r="H468" s="339"/>
      <c r="I468" s="339"/>
    </row>
    <row r="469" spans="8:9">
      <c r="H469" s="339"/>
      <c r="I469" s="339"/>
    </row>
    <row r="470" spans="8:9">
      <c r="H470" s="339"/>
      <c r="I470" s="339"/>
    </row>
    <row r="471" spans="8:9">
      <c r="H471" s="339"/>
      <c r="I471" s="339"/>
    </row>
    <row r="472" spans="8:9">
      <c r="H472" s="339"/>
      <c r="I472" s="339"/>
    </row>
    <row r="473" spans="8:9">
      <c r="H473" s="339"/>
      <c r="I473" s="339"/>
    </row>
    <row r="474" spans="8:9">
      <c r="H474" s="339"/>
      <c r="I474" s="339"/>
    </row>
    <row r="475" spans="8:9">
      <c r="H475" s="339"/>
      <c r="I475" s="339"/>
    </row>
    <row r="476" spans="8:9">
      <c r="H476" s="339"/>
      <c r="I476" s="339"/>
    </row>
    <row r="477" spans="8:9">
      <c r="H477" s="339"/>
      <c r="I477" s="339"/>
    </row>
    <row r="478" spans="8:9">
      <c r="H478" s="339"/>
      <c r="I478" s="339"/>
    </row>
    <row r="479" spans="8:9">
      <c r="H479" s="339"/>
      <c r="I479" s="339"/>
    </row>
    <row r="480" spans="8:9">
      <c r="H480" s="339"/>
      <c r="I480" s="339"/>
    </row>
    <row r="481" spans="8:9">
      <c r="H481" s="339"/>
      <c r="I481" s="339"/>
    </row>
    <row r="482" spans="8:9">
      <c r="H482" s="339"/>
      <c r="I482" s="339"/>
    </row>
    <row r="483" spans="8:9">
      <c r="H483" s="339"/>
      <c r="I483" s="339"/>
    </row>
    <row r="484" spans="8:9">
      <c r="H484" s="339"/>
      <c r="I484" s="339"/>
    </row>
    <row r="485" spans="8:9">
      <c r="H485" s="339"/>
      <c r="I485" s="339"/>
    </row>
    <row r="486" spans="8:9">
      <c r="H486" s="339"/>
      <c r="I486" s="339"/>
    </row>
    <row r="487" spans="8:9">
      <c r="H487" s="339"/>
      <c r="I487" s="339"/>
    </row>
    <row r="488" spans="8:9">
      <c r="H488" s="339"/>
      <c r="I488" s="339"/>
    </row>
    <row r="489" spans="8:9">
      <c r="H489" s="339"/>
      <c r="I489" s="339"/>
    </row>
    <row r="490" spans="8:9">
      <c r="H490" s="339"/>
      <c r="I490" s="339"/>
    </row>
    <row r="491" spans="8:9">
      <c r="H491" s="339"/>
      <c r="I491" s="339"/>
    </row>
    <row r="492" spans="8:9">
      <c r="H492" s="339"/>
      <c r="I492" s="339"/>
    </row>
    <row r="493" spans="8:9">
      <c r="H493" s="339"/>
      <c r="I493" s="339"/>
    </row>
    <row r="494" spans="8:9">
      <c r="H494" s="339"/>
      <c r="I494" s="339"/>
    </row>
    <row r="495" spans="8:9">
      <c r="H495" s="339"/>
      <c r="I495" s="339"/>
    </row>
    <row r="496" spans="8:9">
      <c r="H496" s="339"/>
      <c r="I496" s="339"/>
    </row>
    <row r="497" spans="8:9">
      <c r="H497" s="339"/>
      <c r="I497" s="339"/>
    </row>
    <row r="498" spans="8:9">
      <c r="H498" s="339"/>
      <c r="I498" s="339"/>
    </row>
    <row r="499" spans="8:9">
      <c r="H499" s="339"/>
      <c r="I499" s="339"/>
    </row>
    <row r="500" spans="8:9">
      <c r="H500" s="339"/>
      <c r="I500" s="339"/>
    </row>
    <row r="501" spans="8:9">
      <c r="H501" s="339"/>
      <c r="I501" s="339"/>
    </row>
    <row r="502" spans="8:9">
      <c r="H502" s="339"/>
      <c r="I502" s="339"/>
    </row>
    <row r="503" spans="8:9">
      <c r="H503" s="339"/>
      <c r="I503" s="339"/>
    </row>
    <row r="504" spans="8:9">
      <c r="H504" s="339"/>
      <c r="I504" s="339"/>
    </row>
    <row r="505" spans="8:9">
      <c r="H505" s="339"/>
      <c r="I505" s="339"/>
    </row>
    <row r="506" spans="8:9">
      <c r="H506" s="339"/>
      <c r="I506" s="339"/>
    </row>
    <row r="507" spans="8:9">
      <c r="H507" s="339"/>
      <c r="I507" s="339"/>
    </row>
    <row r="508" spans="8:9">
      <c r="H508" s="339"/>
      <c r="I508" s="339"/>
    </row>
    <row r="509" spans="8:9">
      <c r="H509" s="339"/>
      <c r="I509" s="339"/>
    </row>
    <row r="510" spans="8:9">
      <c r="H510" s="339"/>
      <c r="I510" s="339"/>
    </row>
    <row r="511" spans="8:9">
      <c r="H511" s="339"/>
      <c r="I511" s="339"/>
    </row>
    <row r="512" spans="8:9">
      <c r="H512" s="339"/>
      <c r="I512" s="339"/>
    </row>
    <row r="513" spans="8:9">
      <c r="H513" s="339"/>
      <c r="I513" s="339"/>
    </row>
    <row r="514" spans="8:9">
      <c r="H514" s="339"/>
      <c r="I514" s="339"/>
    </row>
    <row r="515" spans="8:9">
      <c r="H515" s="339"/>
      <c r="I515" s="339"/>
    </row>
    <row r="516" spans="8:9">
      <c r="H516" s="339"/>
      <c r="I516" s="339"/>
    </row>
    <row r="517" spans="8:9">
      <c r="H517" s="339"/>
      <c r="I517" s="339"/>
    </row>
    <row r="518" spans="8:9">
      <c r="H518" s="339"/>
      <c r="I518" s="339"/>
    </row>
    <row r="519" spans="8:9">
      <c r="H519" s="339"/>
      <c r="I519" s="339"/>
    </row>
    <row r="520" spans="8:9">
      <c r="H520" s="339"/>
      <c r="I520" s="339"/>
    </row>
    <row r="521" spans="8:9">
      <c r="H521" s="339"/>
      <c r="I521" s="339"/>
    </row>
    <row r="522" spans="8:9">
      <c r="H522" s="339"/>
      <c r="I522" s="339"/>
    </row>
    <row r="523" spans="8:9">
      <c r="H523" s="339"/>
      <c r="I523" s="339"/>
    </row>
    <row r="524" spans="8:9">
      <c r="H524" s="339"/>
      <c r="I524" s="339"/>
    </row>
    <row r="525" spans="8:9">
      <c r="H525" s="339"/>
      <c r="I525" s="339"/>
    </row>
    <row r="526" spans="8:9">
      <c r="H526" s="339"/>
      <c r="I526" s="339"/>
    </row>
    <row r="527" spans="8:9">
      <c r="H527" s="339"/>
      <c r="I527" s="339"/>
    </row>
    <row r="528" spans="8:9">
      <c r="H528" s="339"/>
      <c r="I528" s="339"/>
    </row>
    <row r="529" spans="8:9">
      <c r="H529" s="339"/>
      <c r="I529" s="339"/>
    </row>
    <row r="530" spans="8:9">
      <c r="H530" s="339"/>
      <c r="I530" s="339"/>
    </row>
    <row r="531" spans="8:9">
      <c r="H531" s="339"/>
      <c r="I531" s="339"/>
    </row>
    <row r="532" spans="8:9">
      <c r="H532" s="339"/>
      <c r="I532" s="339"/>
    </row>
    <row r="533" spans="8:9">
      <c r="H533" s="339"/>
      <c r="I533" s="339"/>
    </row>
    <row r="534" spans="8:9">
      <c r="H534" s="339"/>
      <c r="I534" s="339"/>
    </row>
    <row r="535" spans="8:9">
      <c r="H535" s="339"/>
      <c r="I535" s="339"/>
    </row>
    <row r="536" spans="8:9">
      <c r="H536" s="339"/>
      <c r="I536" s="339"/>
    </row>
    <row r="537" spans="8:9">
      <c r="H537" s="339"/>
      <c r="I537" s="339"/>
    </row>
    <row r="538" spans="8:9">
      <c r="H538" s="339"/>
      <c r="I538" s="339"/>
    </row>
    <row r="539" spans="8:9">
      <c r="H539" s="339"/>
      <c r="I539" s="339"/>
    </row>
    <row r="540" spans="8:9">
      <c r="H540" s="339"/>
      <c r="I540" s="339"/>
    </row>
    <row r="541" spans="8:9">
      <c r="H541" s="339"/>
      <c r="I541" s="339"/>
    </row>
    <row r="542" spans="8:9">
      <c r="H542" s="339"/>
      <c r="I542" s="339"/>
    </row>
    <row r="543" spans="8:9">
      <c r="H543" s="339"/>
      <c r="I543" s="339"/>
    </row>
    <row r="544" spans="8:9">
      <c r="H544" s="339"/>
      <c r="I544" s="339"/>
    </row>
    <row r="545" spans="8:9">
      <c r="H545" s="339"/>
      <c r="I545" s="339"/>
    </row>
    <row r="546" spans="8:9">
      <c r="H546" s="339"/>
      <c r="I546" s="339"/>
    </row>
    <row r="547" spans="8:9">
      <c r="H547" s="339"/>
      <c r="I547" s="339"/>
    </row>
    <row r="548" spans="8:9">
      <c r="H548" s="339"/>
      <c r="I548" s="339"/>
    </row>
    <row r="549" spans="8:9">
      <c r="H549" s="339"/>
      <c r="I549" s="339"/>
    </row>
    <row r="550" spans="8:9">
      <c r="H550" s="339"/>
      <c r="I550" s="339"/>
    </row>
    <row r="551" spans="8:9">
      <c r="H551" s="339"/>
      <c r="I551" s="339"/>
    </row>
    <row r="552" spans="8:9">
      <c r="H552" s="339"/>
      <c r="I552" s="339"/>
    </row>
    <row r="553" spans="8:9">
      <c r="H553" s="339"/>
      <c r="I553" s="339"/>
    </row>
    <row r="554" spans="8:9">
      <c r="H554" s="339"/>
      <c r="I554" s="339"/>
    </row>
    <row r="555" spans="8:9">
      <c r="H555" s="339"/>
      <c r="I555" s="339"/>
    </row>
    <row r="556" spans="8:9">
      <c r="H556" s="339"/>
      <c r="I556" s="339"/>
    </row>
    <row r="557" spans="8:9">
      <c r="H557" s="339"/>
      <c r="I557" s="339"/>
    </row>
    <row r="558" spans="8:9">
      <c r="H558" s="339"/>
      <c r="I558" s="339"/>
    </row>
    <row r="559" spans="8:9">
      <c r="H559" s="339"/>
      <c r="I559" s="339"/>
    </row>
    <row r="560" spans="8:9">
      <c r="H560" s="339"/>
      <c r="I560" s="339"/>
    </row>
    <row r="561" spans="8:9">
      <c r="H561" s="339"/>
      <c r="I561" s="339"/>
    </row>
    <row r="562" spans="8:9">
      <c r="H562" s="339"/>
      <c r="I562" s="339"/>
    </row>
    <row r="563" spans="8:9">
      <c r="H563" s="339"/>
      <c r="I563" s="339"/>
    </row>
    <row r="564" spans="8:9">
      <c r="H564" s="339"/>
      <c r="I564" s="339"/>
    </row>
    <row r="565" spans="8:9">
      <c r="H565" s="339"/>
      <c r="I565" s="339"/>
    </row>
    <row r="566" spans="8:9">
      <c r="H566" s="339"/>
      <c r="I566" s="339"/>
    </row>
    <row r="567" spans="8:9">
      <c r="H567" s="339"/>
      <c r="I567" s="339"/>
    </row>
    <row r="568" spans="8:9">
      <c r="H568" s="339"/>
      <c r="I568" s="339"/>
    </row>
    <row r="569" spans="8:9">
      <c r="H569" s="339"/>
      <c r="I569" s="339"/>
    </row>
    <row r="570" spans="8:9">
      <c r="H570" s="339"/>
      <c r="I570" s="339"/>
    </row>
    <row r="571" spans="8:9">
      <c r="H571" s="339"/>
      <c r="I571" s="339"/>
    </row>
    <row r="572" spans="8:9">
      <c r="H572" s="339"/>
      <c r="I572" s="339"/>
    </row>
    <row r="573" spans="8:9">
      <c r="H573" s="339"/>
      <c r="I573" s="339"/>
    </row>
    <row r="574" spans="8:9">
      <c r="H574" s="339"/>
      <c r="I574" s="339"/>
    </row>
    <row r="575" spans="8:9">
      <c r="H575" s="339"/>
      <c r="I575" s="339"/>
    </row>
    <row r="576" spans="8:9">
      <c r="H576" s="339"/>
      <c r="I576" s="339"/>
    </row>
    <row r="577" spans="8:9">
      <c r="H577" s="339"/>
      <c r="I577" s="339"/>
    </row>
    <row r="578" spans="8:9">
      <c r="H578" s="339"/>
      <c r="I578" s="339"/>
    </row>
    <row r="579" spans="8:9">
      <c r="H579" s="339"/>
      <c r="I579" s="339"/>
    </row>
    <row r="580" spans="8:9">
      <c r="H580" s="339"/>
      <c r="I580" s="339"/>
    </row>
    <row r="581" spans="8:9">
      <c r="H581" s="339"/>
      <c r="I581" s="339"/>
    </row>
    <row r="582" spans="8:9">
      <c r="H582" s="339"/>
      <c r="I582" s="339"/>
    </row>
    <row r="583" spans="8:9">
      <c r="H583" s="339"/>
      <c r="I583" s="339"/>
    </row>
    <row r="584" spans="8:9">
      <c r="H584" s="339"/>
      <c r="I584" s="339"/>
    </row>
    <row r="585" spans="8:9">
      <c r="H585" s="339"/>
      <c r="I585" s="339"/>
    </row>
    <row r="586" spans="8:9">
      <c r="H586" s="339"/>
      <c r="I586" s="339"/>
    </row>
    <row r="587" spans="8:9">
      <c r="H587" s="339"/>
      <c r="I587" s="339"/>
    </row>
    <row r="588" spans="8:9">
      <c r="H588" s="339"/>
      <c r="I588" s="339"/>
    </row>
    <row r="589" spans="8:9">
      <c r="H589" s="339"/>
      <c r="I589" s="339"/>
    </row>
    <row r="590" spans="8:9">
      <c r="H590" s="339"/>
      <c r="I590" s="339"/>
    </row>
    <row r="591" spans="8:9">
      <c r="H591" s="339"/>
      <c r="I591" s="339"/>
    </row>
    <row r="592" spans="8:9">
      <c r="H592" s="339"/>
      <c r="I592" s="339"/>
    </row>
    <row r="593" spans="8:9">
      <c r="H593" s="339"/>
      <c r="I593" s="339"/>
    </row>
    <row r="594" spans="8:9">
      <c r="H594" s="339"/>
      <c r="I594" s="339"/>
    </row>
    <row r="595" spans="8:9">
      <c r="H595" s="339"/>
      <c r="I595" s="339"/>
    </row>
    <row r="596" spans="8:9">
      <c r="H596" s="339"/>
      <c r="I596" s="339"/>
    </row>
    <row r="597" spans="8:9">
      <c r="H597" s="339"/>
      <c r="I597" s="339"/>
    </row>
    <row r="598" spans="8:9">
      <c r="H598" s="339"/>
      <c r="I598" s="339"/>
    </row>
    <row r="599" spans="8:9">
      <c r="H599" s="339"/>
      <c r="I599" s="339"/>
    </row>
    <row r="600" spans="8:9">
      <c r="H600" s="339"/>
      <c r="I600" s="339"/>
    </row>
    <row r="601" spans="8:9">
      <c r="H601" s="339"/>
      <c r="I601" s="339"/>
    </row>
    <row r="602" spans="8:9">
      <c r="H602" s="339"/>
      <c r="I602" s="339"/>
    </row>
    <row r="603" spans="8:9">
      <c r="H603" s="339"/>
      <c r="I603" s="339"/>
    </row>
    <row r="604" spans="8:9">
      <c r="H604" s="339"/>
      <c r="I604" s="339"/>
    </row>
    <row r="605" spans="8:9">
      <c r="H605" s="339"/>
      <c r="I605" s="339"/>
    </row>
    <row r="606" spans="8:9">
      <c r="H606" s="339"/>
      <c r="I606" s="339"/>
    </row>
    <row r="607" spans="8:9">
      <c r="H607" s="339"/>
      <c r="I607" s="339"/>
    </row>
    <row r="608" spans="8:9">
      <c r="H608" s="339"/>
      <c r="I608" s="339"/>
    </row>
    <row r="609" spans="8:9">
      <c r="H609" s="339"/>
      <c r="I609" s="339"/>
    </row>
    <row r="610" spans="8:9">
      <c r="H610" s="339"/>
      <c r="I610" s="339"/>
    </row>
    <row r="611" spans="8:9">
      <c r="H611" s="339"/>
      <c r="I611" s="339"/>
    </row>
    <row r="612" spans="8:9">
      <c r="H612" s="339"/>
      <c r="I612" s="339"/>
    </row>
    <row r="613" spans="8:9">
      <c r="H613" s="339"/>
      <c r="I613" s="339"/>
    </row>
    <row r="614" spans="8:9">
      <c r="H614" s="339"/>
      <c r="I614" s="339"/>
    </row>
    <row r="615" spans="8:9">
      <c r="H615" s="339"/>
      <c r="I615" s="339"/>
    </row>
    <row r="616" spans="8:9">
      <c r="H616" s="339"/>
      <c r="I616" s="339"/>
    </row>
    <row r="617" spans="8:9">
      <c r="H617" s="339"/>
      <c r="I617" s="339"/>
    </row>
    <row r="618" spans="8:9">
      <c r="H618" s="339"/>
      <c r="I618" s="339"/>
    </row>
    <row r="619" spans="8:9">
      <c r="H619" s="339"/>
      <c r="I619" s="339"/>
    </row>
    <row r="620" spans="8:9">
      <c r="H620" s="339"/>
      <c r="I620" s="339"/>
    </row>
    <row r="621" spans="8:9">
      <c r="H621" s="339"/>
      <c r="I621" s="339"/>
    </row>
    <row r="622" spans="8:9">
      <c r="H622" s="339"/>
      <c r="I622" s="339"/>
    </row>
    <row r="623" spans="8:9">
      <c r="H623" s="339"/>
      <c r="I623" s="339"/>
    </row>
    <row r="624" spans="8:9">
      <c r="H624" s="339"/>
      <c r="I624" s="339"/>
    </row>
    <row r="625" spans="8:9">
      <c r="H625" s="339"/>
      <c r="I625" s="339"/>
    </row>
    <row r="626" spans="8:9">
      <c r="H626" s="339"/>
      <c r="I626" s="339"/>
    </row>
    <row r="627" spans="8:9">
      <c r="H627" s="339"/>
      <c r="I627" s="339"/>
    </row>
    <row r="628" spans="8:9">
      <c r="H628" s="339"/>
      <c r="I628" s="339"/>
    </row>
    <row r="629" spans="8:9">
      <c r="H629" s="339"/>
      <c r="I629" s="339"/>
    </row>
    <row r="630" spans="8:9">
      <c r="H630" s="339"/>
      <c r="I630" s="339"/>
    </row>
    <row r="631" spans="8:9">
      <c r="H631" s="339"/>
      <c r="I631" s="339"/>
    </row>
    <row r="632" spans="8:9">
      <c r="H632" s="339"/>
      <c r="I632" s="339"/>
    </row>
    <row r="633" spans="8:9">
      <c r="H633" s="339"/>
      <c r="I633" s="339"/>
    </row>
    <row r="634" spans="8:9">
      <c r="H634" s="339"/>
      <c r="I634" s="339"/>
    </row>
    <row r="635" spans="8:9">
      <c r="H635" s="339"/>
      <c r="I635" s="339"/>
    </row>
    <row r="636" spans="8:9">
      <c r="H636" s="339"/>
      <c r="I636" s="339"/>
    </row>
    <row r="637" spans="8:9">
      <c r="H637" s="339"/>
      <c r="I637" s="339"/>
    </row>
    <row r="638" spans="8:9">
      <c r="H638" s="339"/>
      <c r="I638" s="339"/>
    </row>
    <row r="639" spans="8:9">
      <c r="H639" s="339"/>
      <c r="I639" s="339"/>
    </row>
    <row r="640" spans="8:9">
      <c r="H640" s="339"/>
      <c r="I640" s="339"/>
    </row>
    <row r="641" spans="8:9">
      <c r="H641" s="339"/>
      <c r="I641" s="339"/>
    </row>
    <row r="642" spans="8:9">
      <c r="H642" s="339"/>
      <c r="I642" s="339"/>
    </row>
    <row r="643" spans="8:9">
      <c r="H643" s="339"/>
      <c r="I643" s="339"/>
    </row>
    <row r="644" spans="8:9">
      <c r="H644" s="339"/>
      <c r="I644" s="339"/>
    </row>
    <row r="645" spans="8:9">
      <c r="H645" s="339"/>
      <c r="I645" s="339"/>
    </row>
    <row r="646" spans="8:9">
      <c r="H646" s="339"/>
      <c r="I646" s="339"/>
    </row>
    <row r="647" spans="8:9">
      <c r="H647" s="339"/>
      <c r="I647" s="339"/>
    </row>
    <row r="648" spans="8:9">
      <c r="H648" s="339"/>
      <c r="I648" s="339"/>
    </row>
    <row r="649" spans="8:9">
      <c r="H649" s="339"/>
      <c r="I649" s="339"/>
    </row>
    <row r="650" spans="8:9">
      <c r="H650" s="339"/>
      <c r="I650" s="339"/>
    </row>
    <row r="651" spans="8:9">
      <c r="H651" s="339"/>
      <c r="I651" s="339"/>
    </row>
    <row r="652" spans="8:9">
      <c r="H652" s="339"/>
      <c r="I652" s="339"/>
    </row>
    <row r="653" spans="8:9">
      <c r="H653" s="339"/>
      <c r="I653" s="339"/>
    </row>
    <row r="654" spans="8:9">
      <c r="H654" s="339"/>
      <c r="I654" s="339"/>
    </row>
    <row r="655" spans="8:9">
      <c r="H655" s="339"/>
      <c r="I655" s="339"/>
    </row>
    <row r="656" spans="8:9">
      <c r="H656" s="339"/>
      <c r="I656" s="339"/>
    </row>
    <row r="657" spans="8:9">
      <c r="H657" s="339"/>
      <c r="I657" s="339"/>
    </row>
    <row r="658" spans="8:9">
      <c r="H658" s="339"/>
      <c r="I658" s="339"/>
    </row>
    <row r="659" spans="8:9">
      <c r="H659" s="339"/>
      <c r="I659" s="339"/>
    </row>
    <row r="660" spans="8:9">
      <c r="H660" s="339"/>
      <c r="I660" s="339"/>
    </row>
    <row r="661" spans="8:9">
      <c r="H661" s="339"/>
      <c r="I661" s="339"/>
    </row>
    <row r="662" spans="8:9">
      <c r="H662" s="339"/>
      <c r="I662" s="339"/>
    </row>
    <row r="663" spans="8:9">
      <c r="H663" s="339"/>
      <c r="I663" s="339"/>
    </row>
    <row r="664" spans="8:9">
      <c r="H664" s="339"/>
      <c r="I664" s="339"/>
    </row>
    <row r="665" spans="8:9">
      <c r="H665" s="339"/>
      <c r="I665" s="339"/>
    </row>
    <row r="666" spans="8:9">
      <c r="H666" s="339"/>
      <c r="I666" s="339"/>
    </row>
    <row r="667" spans="8:9">
      <c r="H667" s="339"/>
      <c r="I667" s="339"/>
    </row>
    <row r="668" spans="8:9">
      <c r="H668" s="339"/>
      <c r="I668" s="339"/>
    </row>
    <row r="669" spans="8:9">
      <c r="H669" s="339"/>
      <c r="I669" s="339"/>
    </row>
    <row r="670" spans="8:9">
      <c r="H670" s="339"/>
      <c r="I670" s="339"/>
    </row>
    <row r="671" spans="8:9">
      <c r="H671" s="339"/>
      <c r="I671" s="339"/>
    </row>
    <row r="672" spans="8:9">
      <c r="H672" s="339"/>
      <c r="I672" s="339"/>
    </row>
    <row r="673" spans="8:9">
      <c r="H673" s="339"/>
      <c r="I673" s="339"/>
    </row>
    <row r="674" spans="8:9">
      <c r="H674" s="339"/>
      <c r="I674" s="339"/>
    </row>
    <row r="675" spans="8:9">
      <c r="H675" s="339"/>
      <c r="I675" s="339"/>
    </row>
    <row r="676" spans="8:9">
      <c r="H676" s="339"/>
      <c r="I676" s="339"/>
    </row>
    <row r="677" spans="8:9">
      <c r="H677" s="339"/>
      <c r="I677" s="339"/>
    </row>
    <row r="678" spans="8:9">
      <c r="H678" s="339"/>
      <c r="I678" s="339"/>
    </row>
    <row r="679" spans="8:9">
      <c r="H679" s="339"/>
      <c r="I679" s="339"/>
    </row>
    <row r="680" spans="8:9">
      <c r="H680" s="339"/>
      <c r="I680" s="339"/>
    </row>
    <row r="681" spans="8:9">
      <c r="H681" s="339"/>
      <c r="I681" s="339"/>
    </row>
    <row r="682" spans="8:9">
      <c r="H682" s="339"/>
      <c r="I682" s="339"/>
    </row>
    <row r="683" spans="8:9">
      <c r="H683" s="339"/>
      <c r="I683" s="339"/>
    </row>
    <row r="684" spans="8:9">
      <c r="H684" s="339"/>
      <c r="I684" s="339"/>
    </row>
    <row r="685" spans="8:9">
      <c r="H685" s="339"/>
      <c r="I685" s="339"/>
    </row>
    <row r="686" spans="8:9">
      <c r="H686" s="339"/>
      <c r="I686" s="339"/>
    </row>
    <row r="687" spans="8:9">
      <c r="H687" s="339"/>
      <c r="I687" s="339"/>
    </row>
    <row r="688" spans="8:9">
      <c r="H688" s="339"/>
      <c r="I688" s="339"/>
    </row>
    <row r="689" spans="8:9">
      <c r="H689" s="339"/>
      <c r="I689" s="339"/>
    </row>
    <row r="690" spans="8:9">
      <c r="H690" s="339"/>
      <c r="I690" s="339"/>
    </row>
    <row r="691" spans="8:9">
      <c r="H691" s="339"/>
      <c r="I691" s="339"/>
    </row>
    <row r="692" spans="8:9">
      <c r="H692" s="339"/>
      <c r="I692" s="339"/>
    </row>
    <row r="693" spans="8:9">
      <c r="H693" s="339"/>
      <c r="I693" s="339"/>
    </row>
    <row r="694" spans="8:9">
      <c r="H694" s="339"/>
      <c r="I694" s="339"/>
    </row>
    <row r="695" spans="8:9">
      <c r="H695" s="339"/>
      <c r="I695" s="339"/>
    </row>
    <row r="696" spans="8:9">
      <c r="H696" s="339"/>
      <c r="I696" s="339"/>
    </row>
    <row r="697" spans="8:9">
      <c r="H697" s="339"/>
      <c r="I697" s="339"/>
    </row>
    <row r="698" spans="8:9">
      <c r="H698" s="339"/>
      <c r="I698" s="339"/>
    </row>
    <row r="699" spans="8:9">
      <c r="H699" s="339"/>
      <c r="I699" s="339"/>
    </row>
    <row r="700" spans="8:9">
      <c r="H700" s="339"/>
      <c r="I700" s="339"/>
    </row>
    <row r="701" spans="8:9">
      <c r="H701" s="339"/>
      <c r="I701" s="339"/>
    </row>
    <row r="702" spans="8:9">
      <c r="H702" s="339"/>
      <c r="I702" s="339"/>
    </row>
    <row r="703" spans="8:9">
      <c r="H703" s="339"/>
      <c r="I703" s="339"/>
    </row>
    <row r="704" spans="8:9">
      <c r="H704" s="339"/>
      <c r="I704" s="339"/>
    </row>
    <row r="705" spans="8:9">
      <c r="H705" s="339"/>
      <c r="I705" s="339"/>
    </row>
    <row r="706" spans="8:9">
      <c r="H706" s="339"/>
      <c r="I706" s="339"/>
    </row>
    <row r="707" spans="8:9">
      <c r="H707" s="339"/>
      <c r="I707" s="339"/>
    </row>
    <row r="708" spans="8:9">
      <c r="H708" s="339"/>
      <c r="I708" s="339"/>
    </row>
    <row r="709" spans="8:9">
      <c r="H709" s="339"/>
      <c r="I709" s="339"/>
    </row>
    <row r="710" spans="8:9">
      <c r="H710" s="339"/>
      <c r="I710" s="339"/>
    </row>
    <row r="711" spans="8:9">
      <c r="H711" s="339"/>
      <c r="I711" s="339"/>
    </row>
    <row r="712" spans="8:9">
      <c r="H712" s="339"/>
      <c r="I712" s="339"/>
    </row>
    <row r="713" spans="8:9">
      <c r="H713" s="339"/>
      <c r="I713" s="339"/>
    </row>
    <row r="714" spans="8:9">
      <c r="H714" s="339"/>
      <c r="I714" s="339"/>
    </row>
    <row r="715" spans="8:9">
      <c r="H715" s="339"/>
      <c r="I715" s="339"/>
    </row>
    <row r="716" spans="8:9">
      <c r="H716" s="339"/>
      <c r="I716" s="339"/>
    </row>
    <row r="717" spans="8:9">
      <c r="H717" s="339"/>
      <c r="I717" s="339"/>
    </row>
    <row r="718" spans="8:9">
      <c r="H718" s="339"/>
      <c r="I718" s="339"/>
    </row>
    <row r="719" spans="8:9">
      <c r="H719" s="339"/>
      <c r="I719" s="339"/>
    </row>
    <row r="720" spans="8:9">
      <c r="H720" s="339"/>
      <c r="I720" s="339"/>
    </row>
    <row r="721" spans="8:9">
      <c r="H721" s="339"/>
      <c r="I721" s="339"/>
    </row>
    <row r="722" spans="8:9">
      <c r="H722" s="339"/>
      <c r="I722" s="339"/>
    </row>
    <row r="723" spans="8:9">
      <c r="H723" s="339"/>
      <c r="I723" s="339"/>
    </row>
    <row r="724" spans="8:9">
      <c r="H724" s="339"/>
      <c r="I724" s="339"/>
    </row>
    <row r="725" spans="8:9">
      <c r="H725" s="339"/>
      <c r="I725" s="339"/>
    </row>
    <row r="726" spans="8:9">
      <c r="H726" s="339"/>
      <c r="I726" s="339"/>
    </row>
    <row r="727" spans="8:9">
      <c r="H727" s="339"/>
      <c r="I727" s="339"/>
    </row>
    <row r="728" spans="8:9">
      <c r="H728" s="339"/>
      <c r="I728" s="339"/>
    </row>
    <row r="729" spans="8:9">
      <c r="H729" s="339"/>
      <c r="I729" s="339"/>
    </row>
    <row r="730" spans="8:9">
      <c r="H730" s="339"/>
      <c r="I730" s="339"/>
    </row>
    <row r="731" spans="8:9">
      <c r="H731" s="339"/>
      <c r="I731" s="339"/>
    </row>
    <row r="732" spans="8:9">
      <c r="H732" s="339"/>
      <c r="I732" s="339"/>
    </row>
    <row r="733" spans="8:9">
      <c r="H733" s="339"/>
      <c r="I733" s="339"/>
    </row>
    <row r="734" spans="8:9">
      <c r="H734" s="339"/>
      <c r="I734" s="339"/>
    </row>
    <row r="735" spans="8:9">
      <c r="H735" s="339"/>
      <c r="I735" s="339"/>
    </row>
    <row r="736" spans="8:9">
      <c r="H736" s="339"/>
      <c r="I736" s="339"/>
    </row>
    <row r="737" spans="8:9">
      <c r="H737" s="339"/>
      <c r="I737" s="339"/>
    </row>
    <row r="738" spans="8:9">
      <c r="H738" s="339"/>
      <c r="I738" s="339"/>
    </row>
    <row r="739" spans="8:9">
      <c r="H739" s="339"/>
      <c r="I739" s="339"/>
    </row>
    <row r="740" spans="8:9">
      <c r="H740" s="339"/>
      <c r="I740" s="339"/>
    </row>
    <row r="741" spans="8:9">
      <c r="H741" s="339"/>
      <c r="I741" s="339"/>
    </row>
    <row r="742" spans="8:9">
      <c r="H742" s="339"/>
      <c r="I742" s="339"/>
    </row>
    <row r="743" spans="8:9">
      <c r="H743" s="339"/>
      <c r="I743" s="339"/>
    </row>
    <row r="744" spans="8:9">
      <c r="H744" s="339"/>
      <c r="I744" s="339"/>
    </row>
    <row r="745" spans="8:9">
      <c r="H745" s="339"/>
      <c r="I745" s="339"/>
    </row>
    <row r="746" spans="8:9">
      <c r="H746" s="339"/>
      <c r="I746" s="339"/>
    </row>
    <row r="747" spans="8:9">
      <c r="H747" s="339"/>
      <c r="I747" s="339"/>
    </row>
    <row r="748" spans="8:9">
      <c r="H748" s="339"/>
      <c r="I748" s="339"/>
    </row>
    <row r="749" spans="8:9">
      <c r="H749" s="339"/>
      <c r="I749" s="339"/>
    </row>
    <row r="750" spans="8:9">
      <c r="H750" s="339"/>
      <c r="I750" s="339"/>
    </row>
    <row r="751" spans="8:9">
      <c r="H751" s="339"/>
      <c r="I751" s="339"/>
    </row>
    <row r="752" spans="8:9">
      <c r="H752" s="339"/>
      <c r="I752" s="339"/>
    </row>
    <row r="753" spans="8:9">
      <c r="H753" s="339"/>
      <c r="I753" s="339"/>
    </row>
    <row r="754" spans="8:9">
      <c r="H754" s="339"/>
      <c r="I754" s="339"/>
    </row>
    <row r="755" spans="8:9">
      <c r="H755" s="339"/>
      <c r="I755" s="339"/>
    </row>
    <row r="756" spans="8:9">
      <c r="H756" s="339"/>
      <c r="I756" s="339"/>
    </row>
    <row r="757" spans="8:9">
      <c r="H757" s="339"/>
      <c r="I757" s="339"/>
    </row>
    <row r="758" spans="8:9">
      <c r="H758" s="339"/>
      <c r="I758" s="339"/>
    </row>
    <row r="759" spans="8:9">
      <c r="H759" s="339"/>
      <c r="I759" s="339"/>
    </row>
    <row r="760" spans="8:9">
      <c r="H760" s="339"/>
      <c r="I760" s="339"/>
    </row>
    <row r="761" spans="8:9">
      <c r="H761" s="339"/>
      <c r="I761" s="339"/>
    </row>
    <row r="762" spans="8:9">
      <c r="H762" s="339"/>
      <c r="I762" s="339"/>
    </row>
    <row r="763" spans="8:9">
      <c r="H763" s="339"/>
      <c r="I763" s="339"/>
    </row>
    <row r="764" spans="8:9">
      <c r="H764" s="339"/>
      <c r="I764" s="339"/>
    </row>
    <row r="765" spans="8:9">
      <c r="H765" s="339"/>
      <c r="I765" s="339"/>
    </row>
    <row r="766" spans="8:9">
      <c r="H766" s="339"/>
      <c r="I766" s="339"/>
    </row>
    <row r="767" spans="8:9">
      <c r="H767" s="339"/>
      <c r="I767" s="339"/>
    </row>
    <row r="768" spans="8:9">
      <c r="H768" s="339"/>
      <c r="I768" s="339"/>
    </row>
    <row r="769" spans="8:9">
      <c r="H769" s="339"/>
      <c r="I769" s="339"/>
    </row>
    <row r="770" spans="8:9">
      <c r="H770" s="339"/>
      <c r="I770" s="339"/>
    </row>
    <row r="771" spans="8:9">
      <c r="H771" s="339"/>
      <c r="I771" s="339"/>
    </row>
    <row r="772" spans="8:9">
      <c r="H772" s="339"/>
      <c r="I772" s="339"/>
    </row>
    <row r="773" spans="8:9">
      <c r="H773" s="339"/>
      <c r="I773" s="339"/>
    </row>
    <row r="774" spans="8:9">
      <c r="H774" s="339"/>
      <c r="I774" s="339"/>
    </row>
    <row r="775" spans="8:9">
      <c r="H775" s="339"/>
      <c r="I775" s="339"/>
    </row>
    <row r="776" spans="8:9">
      <c r="H776" s="339"/>
      <c r="I776" s="339"/>
    </row>
    <row r="777" spans="8:9">
      <c r="H777" s="339"/>
      <c r="I777" s="339"/>
    </row>
    <row r="778" spans="8:9">
      <c r="H778" s="339"/>
      <c r="I778" s="339"/>
    </row>
    <row r="779" spans="8:9">
      <c r="H779" s="339"/>
      <c r="I779" s="339"/>
    </row>
    <row r="780" spans="8:9">
      <c r="H780" s="339"/>
      <c r="I780" s="339"/>
    </row>
    <row r="781" spans="8:9">
      <c r="H781" s="339"/>
      <c r="I781" s="339"/>
    </row>
    <row r="782" spans="8:9">
      <c r="H782" s="339"/>
      <c r="I782" s="339"/>
    </row>
    <row r="783" spans="8:9">
      <c r="H783" s="339"/>
      <c r="I783" s="339"/>
    </row>
    <row r="784" spans="8:9">
      <c r="H784" s="339"/>
      <c r="I784" s="339"/>
    </row>
    <row r="785" spans="8:9">
      <c r="H785" s="339"/>
      <c r="I785" s="339"/>
    </row>
    <row r="786" spans="8:9">
      <c r="H786" s="339"/>
      <c r="I786" s="339"/>
    </row>
    <row r="787" spans="8:9">
      <c r="H787" s="339"/>
      <c r="I787" s="339"/>
    </row>
    <row r="788" spans="8:9">
      <c r="H788" s="339"/>
      <c r="I788" s="339"/>
    </row>
    <row r="789" spans="8:9">
      <c r="H789" s="339"/>
      <c r="I789" s="339"/>
    </row>
    <row r="790" spans="8:9">
      <c r="H790" s="339"/>
      <c r="I790" s="339"/>
    </row>
    <row r="791" spans="8:9">
      <c r="H791" s="339"/>
      <c r="I791" s="339"/>
    </row>
    <row r="792" spans="8:9">
      <c r="H792" s="339"/>
      <c r="I792" s="339"/>
    </row>
    <row r="793" spans="8:9">
      <c r="H793" s="339"/>
      <c r="I793" s="339"/>
    </row>
    <row r="794" spans="8:9">
      <c r="H794" s="339"/>
      <c r="I794" s="339"/>
    </row>
    <row r="795" spans="8:9">
      <c r="H795" s="339"/>
      <c r="I795" s="339"/>
    </row>
    <row r="796" spans="8:9">
      <c r="H796" s="339"/>
      <c r="I796" s="339"/>
    </row>
    <row r="797" spans="8:9">
      <c r="H797" s="339"/>
      <c r="I797" s="339"/>
    </row>
    <row r="798" spans="8:9">
      <c r="H798" s="339"/>
      <c r="I798" s="339"/>
    </row>
    <row r="799" spans="8:9">
      <c r="H799" s="339"/>
      <c r="I799" s="339"/>
    </row>
    <row r="800" spans="8:9">
      <c r="H800" s="339"/>
      <c r="I800" s="339"/>
    </row>
    <row r="801" spans="8:9">
      <c r="H801" s="339"/>
      <c r="I801" s="339"/>
    </row>
    <row r="802" spans="8:9">
      <c r="H802" s="339"/>
      <c r="I802" s="339"/>
    </row>
    <row r="803" spans="8:9">
      <c r="H803" s="339"/>
      <c r="I803" s="339"/>
    </row>
    <row r="804" spans="8:9">
      <c r="H804" s="339"/>
      <c r="I804" s="339"/>
    </row>
    <row r="805" spans="8:9">
      <c r="H805" s="339"/>
      <c r="I805" s="339"/>
    </row>
    <row r="806" spans="8:9">
      <c r="H806" s="339"/>
      <c r="I806" s="339"/>
    </row>
    <row r="807" spans="8:9">
      <c r="H807" s="339"/>
      <c r="I807" s="339"/>
    </row>
    <row r="808" spans="8:9">
      <c r="H808" s="339"/>
      <c r="I808" s="339"/>
    </row>
    <row r="809" spans="8:9">
      <c r="H809" s="339"/>
      <c r="I809" s="339"/>
    </row>
    <row r="810" spans="8:9">
      <c r="H810" s="339"/>
      <c r="I810" s="339"/>
    </row>
    <row r="811" spans="8:9">
      <c r="H811" s="339"/>
      <c r="I811" s="339"/>
    </row>
    <row r="812" spans="8:9">
      <c r="H812" s="339"/>
      <c r="I812" s="339"/>
    </row>
    <row r="813" spans="8:9">
      <c r="H813" s="339"/>
      <c r="I813" s="339"/>
    </row>
    <row r="814" spans="8:9">
      <c r="H814" s="339"/>
      <c r="I814" s="339"/>
    </row>
    <row r="815" spans="8:9">
      <c r="H815" s="339"/>
      <c r="I815" s="339"/>
    </row>
    <row r="816" spans="8:9">
      <c r="H816" s="339"/>
      <c r="I816" s="339"/>
    </row>
    <row r="817" spans="8:9">
      <c r="H817" s="339"/>
      <c r="I817" s="339"/>
    </row>
    <row r="818" spans="8:9">
      <c r="H818" s="339"/>
      <c r="I818" s="339"/>
    </row>
    <row r="819" spans="8:9">
      <c r="H819" s="339"/>
      <c r="I819" s="339"/>
    </row>
    <row r="820" spans="8:9">
      <c r="H820" s="339"/>
      <c r="I820" s="339"/>
    </row>
    <row r="821" spans="8:9">
      <c r="H821" s="339"/>
      <c r="I821" s="339"/>
    </row>
    <row r="822" spans="8:9">
      <c r="H822" s="339"/>
      <c r="I822" s="339"/>
    </row>
    <row r="823" spans="8:9">
      <c r="H823" s="339"/>
      <c r="I823" s="339"/>
    </row>
    <row r="824" spans="8:9">
      <c r="H824" s="339"/>
      <c r="I824" s="339"/>
    </row>
    <row r="825" spans="8:9">
      <c r="H825" s="339"/>
      <c r="I825" s="339"/>
    </row>
    <row r="826" spans="8:9">
      <c r="H826" s="339"/>
      <c r="I826" s="339"/>
    </row>
    <row r="827" spans="8:9">
      <c r="H827" s="339"/>
      <c r="I827" s="339"/>
    </row>
    <row r="828" spans="8:9">
      <c r="H828" s="339"/>
      <c r="I828" s="339"/>
    </row>
    <row r="829" spans="8:9">
      <c r="H829" s="339"/>
      <c r="I829" s="339"/>
    </row>
    <row r="830" spans="8:9">
      <c r="H830" s="339"/>
      <c r="I830" s="339"/>
    </row>
    <row r="831" spans="8:9">
      <c r="H831" s="339"/>
      <c r="I831" s="339"/>
    </row>
    <row r="832" spans="8:9">
      <c r="H832" s="339"/>
      <c r="I832" s="339"/>
    </row>
    <row r="833" spans="8:9">
      <c r="H833" s="339"/>
      <c r="I833" s="339"/>
    </row>
    <row r="834" spans="8:9">
      <c r="H834" s="339"/>
      <c r="I834" s="339"/>
    </row>
    <row r="835" spans="8:9">
      <c r="H835" s="339"/>
      <c r="I835" s="339"/>
    </row>
    <row r="836" spans="8:9">
      <c r="H836" s="339"/>
      <c r="I836" s="339"/>
    </row>
    <row r="837" spans="8:9">
      <c r="H837" s="339"/>
      <c r="I837" s="339"/>
    </row>
    <row r="838" spans="8:9">
      <c r="H838" s="339"/>
      <c r="I838" s="339"/>
    </row>
    <row r="839" spans="8:9">
      <c r="H839" s="339"/>
      <c r="I839" s="339"/>
    </row>
    <row r="840" spans="8:9">
      <c r="H840" s="339"/>
      <c r="I840" s="339"/>
    </row>
    <row r="841" spans="8:9">
      <c r="H841" s="339"/>
      <c r="I841" s="339"/>
    </row>
    <row r="842" spans="8:9">
      <c r="H842" s="339"/>
      <c r="I842" s="339"/>
    </row>
    <row r="843" spans="8:9">
      <c r="H843" s="339"/>
      <c r="I843" s="339"/>
    </row>
    <row r="844" spans="8:9">
      <c r="H844" s="339"/>
      <c r="I844" s="339"/>
    </row>
    <row r="845" spans="8:9">
      <c r="H845" s="339"/>
      <c r="I845" s="339"/>
    </row>
    <row r="846" spans="8:9">
      <c r="H846" s="339"/>
      <c r="I846" s="339"/>
    </row>
    <row r="847" spans="8:9">
      <c r="H847" s="339"/>
      <c r="I847" s="339"/>
    </row>
    <row r="848" spans="8:9">
      <c r="H848" s="339"/>
      <c r="I848" s="339"/>
    </row>
    <row r="849" spans="8:9">
      <c r="H849" s="339"/>
      <c r="I849" s="339"/>
    </row>
    <row r="850" spans="8:9">
      <c r="H850" s="339"/>
      <c r="I850" s="339"/>
    </row>
    <row r="851" spans="8:9">
      <c r="H851" s="339"/>
      <c r="I851" s="339"/>
    </row>
    <row r="852" spans="8:9">
      <c r="H852" s="339"/>
      <c r="I852" s="339"/>
    </row>
    <row r="853" spans="8:9">
      <c r="H853" s="339"/>
      <c r="I853" s="339"/>
    </row>
    <row r="854" spans="8:9">
      <c r="H854" s="339"/>
      <c r="I854" s="339"/>
    </row>
    <row r="855" spans="8:9">
      <c r="H855" s="339"/>
      <c r="I855" s="339"/>
    </row>
    <row r="856" spans="8:9">
      <c r="H856" s="339"/>
      <c r="I856" s="339"/>
    </row>
    <row r="857" spans="8:9">
      <c r="H857" s="339"/>
      <c r="I857" s="339"/>
    </row>
    <row r="858" spans="8:9">
      <c r="H858" s="339"/>
      <c r="I858" s="339"/>
    </row>
    <row r="859" spans="8:9">
      <c r="H859" s="339"/>
      <c r="I859" s="339"/>
    </row>
    <row r="860" spans="8:9">
      <c r="H860" s="339"/>
      <c r="I860" s="339"/>
    </row>
    <row r="861" spans="8:9">
      <c r="H861" s="339"/>
      <c r="I861" s="339"/>
    </row>
    <row r="862" spans="8:9">
      <c r="H862" s="339"/>
      <c r="I862" s="339"/>
    </row>
    <row r="863" spans="8:9">
      <c r="H863" s="339"/>
      <c r="I863" s="339"/>
    </row>
    <row r="864" spans="8:9">
      <c r="H864" s="339"/>
      <c r="I864" s="339"/>
    </row>
    <row r="865" spans="8:9">
      <c r="H865" s="339"/>
      <c r="I865" s="339"/>
    </row>
    <row r="866" spans="8:9">
      <c r="H866" s="339"/>
      <c r="I866" s="339"/>
    </row>
    <row r="867" spans="8:9">
      <c r="H867" s="339"/>
      <c r="I867" s="339"/>
    </row>
    <row r="868" spans="8:9">
      <c r="H868" s="339"/>
      <c r="I868" s="339"/>
    </row>
    <row r="869" spans="8:9">
      <c r="H869" s="339"/>
      <c r="I869" s="339"/>
    </row>
    <row r="870" spans="8:9">
      <c r="H870" s="339"/>
      <c r="I870" s="339"/>
    </row>
    <row r="871" spans="8:9">
      <c r="H871" s="339"/>
      <c r="I871" s="339"/>
    </row>
    <row r="872" spans="8:9">
      <c r="H872" s="339"/>
      <c r="I872" s="339"/>
    </row>
    <row r="873" spans="8:9">
      <c r="H873" s="339"/>
      <c r="I873" s="339"/>
    </row>
    <row r="874" spans="8:9">
      <c r="H874" s="339"/>
      <c r="I874" s="339"/>
    </row>
    <row r="875" spans="8:9">
      <c r="H875" s="339"/>
      <c r="I875" s="339"/>
    </row>
    <row r="876" spans="8:9">
      <c r="H876" s="339"/>
      <c r="I876" s="339"/>
    </row>
    <row r="877" spans="8:9">
      <c r="H877" s="339"/>
      <c r="I877" s="339"/>
    </row>
    <row r="878" spans="8:9">
      <c r="H878" s="339"/>
      <c r="I878" s="339"/>
    </row>
    <row r="879" spans="8:9">
      <c r="H879" s="339"/>
      <c r="I879" s="339"/>
    </row>
    <row r="880" spans="8:9">
      <c r="H880" s="339"/>
      <c r="I880" s="339"/>
    </row>
    <row r="881" spans="8:9">
      <c r="H881" s="339"/>
      <c r="I881" s="339"/>
    </row>
    <row r="882" spans="8:9">
      <c r="H882" s="339"/>
      <c r="I882" s="339"/>
    </row>
    <row r="883" spans="8:9">
      <c r="H883" s="339"/>
      <c r="I883" s="339"/>
    </row>
    <row r="884" spans="8:9">
      <c r="H884" s="339"/>
      <c r="I884" s="339"/>
    </row>
    <row r="885" spans="8:9">
      <c r="H885" s="339"/>
      <c r="I885" s="339"/>
    </row>
    <row r="886" spans="8:9">
      <c r="H886" s="339"/>
      <c r="I886" s="339"/>
    </row>
    <row r="887" spans="8:9">
      <c r="H887" s="339"/>
      <c r="I887" s="339"/>
    </row>
    <row r="888" spans="8:9">
      <c r="H888" s="339"/>
      <c r="I888" s="339"/>
    </row>
    <row r="889" spans="8:9">
      <c r="H889" s="339"/>
      <c r="I889" s="339"/>
    </row>
    <row r="890" spans="8:9">
      <c r="H890" s="339"/>
      <c r="I890" s="339"/>
    </row>
    <row r="891" spans="8:9">
      <c r="H891" s="339"/>
      <c r="I891" s="339"/>
    </row>
    <row r="892" spans="8:9">
      <c r="H892" s="339"/>
      <c r="I892" s="339"/>
    </row>
    <row r="893" spans="8:9">
      <c r="H893" s="339"/>
      <c r="I893" s="339"/>
    </row>
    <row r="894" spans="8:9">
      <c r="H894" s="339"/>
      <c r="I894" s="339"/>
    </row>
    <row r="895" spans="8:9">
      <c r="H895" s="339"/>
      <c r="I895" s="339"/>
    </row>
    <row r="896" spans="8:9">
      <c r="H896" s="339"/>
      <c r="I896" s="339"/>
    </row>
    <row r="897" spans="8:9">
      <c r="H897" s="339"/>
      <c r="I897" s="339"/>
    </row>
    <row r="898" spans="8:9">
      <c r="H898" s="339"/>
      <c r="I898" s="339"/>
    </row>
    <row r="899" spans="8:9">
      <c r="H899" s="339"/>
      <c r="I899" s="339"/>
    </row>
    <row r="900" spans="8:9">
      <c r="H900" s="339"/>
      <c r="I900" s="339"/>
    </row>
    <row r="901" spans="8:9">
      <c r="H901" s="339"/>
      <c r="I901" s="339"/>
    </row>
    <row r="902" spans="8:9">
      <c r="H902" s="339"/>
      <c r="I902" s="339"/>
    </row>
    <row r="903" spans="8:9">
      <c r="H903" s="339"/>
      <c r="I903" s="339"/>
    </row>
    <row r="904" spans="8:9">
      <c r="H904" s="339"/>
      <c r="I904" s="339"/>
    </row>
    <row r="905" spans="8:9">
      <c r="H905" s="339"/>
      <c r="I905" s="339"/>
    </row>
    <row r="906" spans="8:9">
      <c r="H906" s="339"/>
      <c r="I906" s="339"/>
    </row>
    <row r="907" spans="8:9">
      <c r="H907" s="339"/>
      <c r="I907" s="339"/>
    </row>
    <row r="908" spans="8:9">
      <c r="H908" s="339"/>
      <c r="I908" s="339"/>
    </row>
    <row r="909" spans="8:9">
      <c r="H909" s="339"/>
      <c r="I909" s="339"/>
    </row>
    <row r="910" spans="8:9">
      <c r="H910" s="339"/>
      <c r="I910" s="339"/>
    </row>
    <row r="911" spans="8:9">
      <c r="H911" s="339"/>
      <c r="I911" s="339"/>
    </row>
    <row r="912" spans="8:9">
      <c r="H912" s="339"/>
      <c r="I912" s="339"/>
    </row>
    <row r="913" spans="8:9">
      <c r="H913" s="339"/>
      <c r="I913" s="339"/>
    </row>
    <row r="914" spans="8:9">
      <c r="H914" s="339"/>
      <c r="I914" s="339"/>
    </row>
    <row r="915" spans="8:9">
      <c r="H915" s="339"/>
      <c r="I915" s="339"/>
    </row>
    <row r="916" spans="8:9">
      <c r="H916" s="339"/>
      <c r="I916" s="339"/>
    </row>
    <row r="917" spans="8:9">
      <c r="H917" s="339"/>
      <c r="I917" s="339"/>
    </row>
    <row r="918" spans="8:9">
      <c r="H918" s="339"/>
      <c r="I918" s="339"/>
    </row>
    <row r="919" spans="8:9">
      <c r="H919" s="339"/>
      <c r="I919" s="339"/>
    </row>
    <row r="920" spans="8:9">
      <c r="H920" s="339"/>
      <c r="I920" s="339"/>
    </row>
    <row r="921" spans="8:9">
      <c r="H921" s="339"/>
      <c r="I921" s="339"/>
    </row>
    <row r="922" spans="8:9">
      <c r="H922" s="339"/>
      <c r="I922" s="339"/>
    </row>
    <row r="923" spans="8:9">
      <c r="H923" s="339"/>
      <c r="I923" s="339"/>
    </row>
    <row r="924" spans="8:9">
      <c r="H924" s="339"/>
      <c r="I924" s="339"/>
    </row>
    <row r="925" spans="8:9">
      <c r="H925" s="339"/>
      <c r="I925" s="339"/>
    </row>
    <row r="926" spans="8:9">
      <c r="H926" s="339"/>
      <c r="I926" s="339"/>
    </row>
    <row r="927" spans="8:9">
      <c r="H927" s="339"/>
      <c r="I927" s="339"/>
    </row>
    <row r="928" spans="8:9">
      <c r="H928" s="339"/>
      <c r="I928" s="339"/>
    </row>
    <row r="929" spans="8:9">
      <c r="H929" s="339"/>
      <c r="I929" s="339"/>
    </row>
    <row r="930" spans="8:9">
      <c r="H930" s="339"/>
      <c r="I930" s="339"/>
    </row>
    <row r="931" spans="8:9">
      <c r="H931" s="339"/>
      <c r="I931" s="339"/>
    </row>
    <row r="932" spans="8:9">
      <c r="H932" s="339"/>
      <c r="I932" s="339"/>
    </row>
    <row r="933" spans="8:9">
      <c r="H933" s="339"/>
      <c r="I933" s="339"/>
    </row>
    <row r="934" spans="8:9">
      <c r="H934" s="339"/>
      <c r="I934" s="339"/>
    </row>
    <row r="935" spans="8:9">
      <c r="H935" s="339"/>
      <c r="I935" s="339"/>
    </row>
    <row r="936" spans="8:9">
      <c r="H936" s="339"/>
      <c r="I936" s="339"/>
    </row>
    <row r="937" spans="8:9">
      <c r="H937" s="339"/>
      <c r="I937" s="339"/>
    </row>
    <row r="938" spans="8:9">
      <c r="H938" s="339"/>
      <c r="I938" s="339"/>
    </row>
    <row r="939" spans="8:9">
      <c r="H939" s="339"/>
      <c r="I939" s="339"/>
    </row>
    <row r="940" spans="8:9">
      <c r="H940" s="339"/>
      <c r="I940" s="339"/>
    </row>
    <row r="941" spans="8:9">
      <c r="H941" s="339"/>
      <c r="I941" s="339"/>
    </row>
    <row r="942" spans="8:9">
      <c r="H942" s="339"/>
      <c r="I942" s="339"/>
    </row>
    <row r="943" spans="8:9">
      <c r="H943" s="339"/>
      <c r="I943" s="339"/>
    </row>
    <row r="944" spans="8:9">
      <c r="H944" s="339"/>
      <c r="I944" s="339"/>
    </row>
    <row r="945" spans="8:9">
      <c r="H945" s="339"/>
      <c r="I945" s="339"/>
    </row>
    <row r="946" spans="8:9">
      <c r="H946" s="339"/>
      <c r="I946" s="339"/>
    </row>
    <row r="947" spans="8:9">
      <c r="H947" s="339"/>
      <c r="I947" s="339"/>
    </row>
    <row r="948" spans="8:9">
      <c r="H948" s="339"/>
      <c r="I948" s="339"/>
    </row>
    <row r="949" spans="8:9">
      <c r="H949" s="339"/>
      <c r="I949" s="339"/>
    </row>
    <row r="950" spans="8:9">
      <c r="H950" s="339"/>
      <c r="I950" s="339"/>
    </row>
    <row r="951" spans="8:9">
      <c r="H951" s="339"/>
      <c r="I951" s="339"/>
    </row>
    <row r="952" spans="8:9">
      <c r="H952" s="339"/>
      <c r="I952" s="339"/>
    </row>
    <row r="953" spans="8:9">
      <c r="H953" s="339"/>
      <c r="I953" s="339"/>
    </row>
    <row r="954" spans="8:9">
      <c r="H954" s="339"/>
      <c r="I954" s="339"/>
    </row>
    <row r="955" spans="8:9">
      <c r="H955" s="339"/>
      <c r="I955" s="339"/>
    </row>
    <row r="956" spans="8:9">
      <c r="H956" s="339"/>
      <c r="I956" s="339"/>
    </row>
    <row r="957" spans="8:9">
      <c r="H957" s="339"/>
      <c r="I957" s="339"/>
    </row>
    <row r="958" spans="8:9">
      <c r="H958" s="339"/>
      <c r="I958" s="339"/>
    </row>
    <row r="959" spans="8:9">
      <c r="H959" s="339"/>
      <c r="I959" s="339"/>
    </row>
    <row r="960" spans="8:9">
      <c r="H960" s="339"/>
      <c r="I960" s="339"/>
    </row>
    <row r="961" spans="8:9">
      <c r="H961" s="339"/>
      <c r="I961" s="339"/>
    </row>
    <row r="962" spans="8:9">
      <c r="H962" s="339"/>
      <c r="I962" s="339"/>
    </row>
    <row r="963" spans="8:9">
      <c r="H963" s="339"/>
      <c r="I963" s="339"/>
    </row>
    <row r="964" spans="8:9">
      <c r="H964" s="339"/>
      <c r="I964" s="339"/>
    </row>
    <row r="965" spans="8:9">
      <c r="H965" s="339"/>
      <c r="I965" s="339"/>
    </row>
    <row r="966" spans="8:9">
      <c r="H966" s="339"/>
      <c r="I966" s="339"/>
    </row>
    <row r="967" spans="8:9">
      <c r="H967" s="339"/>
      <c r="I967" s="339"/>
    </row>
    <row r="968" spans="8:9">
      <c r="H968" s="339"/>
      <c r="I968" s="339"/>
    </row>
    <row r="969" spans="8:9">
      <c r="H969" s="339"/>
      <c r="I969" s="339"/>
    </row>
    <row r="970" spans="8:9">
      <c r="H970" s="339"/>
      <c r="I970" s="339"/>
    </row>
    <row r="971" spans="8:9">
      <c r="H971" s="339"/>
      <c r="I971" s="339"/>
    </row>
    <row r="972" spans="8:9">
      <c r="H972" s="339"/>
      <c r="I972" s="339"/>
    </row>
    <row r="973" spans="8:9">
      <c r="H973" s="339"/>
      <c r="I973" s="339"/>
    </row>
    <row r="974" spans="8:9">
      <c r="H974" s="339"/>
      <c r="I974" s="339"/>
    </row>
    <row r="975" spans="8:9">
      <c r="H975" s="339"/>
      <c r="I975" s="339"/>
    </row>
    <row r="976" spans="8:9">
      <c r="H976" s="339"/>
      <c r="I976" s="339"/>
    </row>
    <row r="977" spans="8:9">
      <c r="H977" s="339"/>
      <c r="I977" s="339"/>
    </row>
    <row r="978" spans="8:9">
      <c r="H978" s="339"/>
      <c r="I978" s="339"/>
    </row>
    <row r="979" spans="8:9">
      <c r="H979" s="339"/>
      <c r="I979" s="339"/>
    </row>
    <row r="980" spans="8:9">
      <c r="H980" s="339"/>
      <c r="I980" s="339"/>
    </row>
    <row r="981" spans="8:9">
      <c r="H981" s="339"/>
      <c r="I981" s="339"/>
    </row>
    <row r="982" spans="8:9">
      <c r="H982" s="339"/>
      <c r="I982" s="339"/>
    </row>
    <row r="983" spans="8:9">
      <c r="H983" s="339"/>
      <c r="I983" s="339"/>
    </row>
    <row r="984" spans="8:9">
      <c r="H984" s="339"/>
      <c r="I984" s="339"/>
    </row>
    <row r="985" spans="8:9">
      <c r="H985" s="339"/>
      <c r="I985" s="339"/>
    </row>
    <row r="986" spans="8:9">
      <c r="H986" s="339"/>
      <c r="I986" s="339"/>
    </row>
    <row r="987" spans="8:9">
      <c r="H987" s="339"/>
      <c r="I987" s="339"/>
    </row>
    <row r="988" spans="8:9">
      <c r="H988" s="339"/>
      <c r="I988" s="339"/>
    </row>
    <row r="989" spans="8:9">
      <c r="H989" s="339"/>
      <c r="I989" s="339"/>
    </row>
    <row r="990" spans="8:9">
      <c r="H990" s="339"/>
      <c r="I990" s="339"/>
    </row>
    <row r="991" spans="8:9">
      <c r="H991" s="339"/>
      <c r="I991" s="339"/>
    </row>
    <row r="992" spans="8:9">
      <c r="H992" s="339"/>
      <c r="I992" s="339"/>
    </row>
    <row r="993" spans="8:9">
      <c r="H993" s="339"/>
      <c r="I993" s="339"/>
    </row>
    <row r="994" spans="8:9">
      <c r="H994" s="339"/>
      <c r="I994" s="339"/>
    </row>
    <row r="995" spans="8:9">
      <c r="H995" s="339"/>
      <c r="I995" s="339"/>
    </row>
    <row r="996" spans="8:9">
      <c r="H996" s="339"/>
      <c r="I996" s="339"/>
    </row>
    <row r="997" spans="8:9">
      <c r="H997" s="339"/>
      <c r="I997" s="339"/>
    </row>
    <row r="998" spans="8:9">
      <c r="H998" s="339"/>
      <c r="I998" s="339"/>
    </row>
    <row r="999" spans="8:9">
      <c r="H999" s="339"/>
      <c r="I999" s="339"/>
    </row>
    <row r="1000" spans="8:9">
      <c r="H1000" s="339"/>
      <c r="I1000" s="339"/>
    </row>
    <row r="1001" spans="8:9">
      <c r="H1001" s="339"/>
      <c r="I1001" s="339"/>
    </row>
    <row r="1002" spans="8:9">
      <c r="H1002" s="339"/>
      <c r="I1002" s="339"/>
    </row>
    <row r="1003" spans="8:9">
      <c r="H1003" s="339"/>
      <c r="I1003" s="339"/>
    </row>
  </sheetData>
  <sortState ref="E4:V100">
    <sortCondition sortBy="cellColor" ref="H4:H100" dxfId="142"/>
    <sortCondition ref="E4:E100"/>
  </sortState>
  <conditionalFormatting sqref="J4">
    <cfRule type="containsBlanks" priority="11" stopIfTrue="1">
      <formula>LEN(TRIM(J4))=0</formula>
    </cfRule>
    <cfRule type="cellIs" dxfId="141" priority="12" stopIfTrue="1" operator="greaterThan">
      <formula>0</formula>
    </cfRule>
  </conditionalFormatting>
  <conditionalFormatting sqref="F1">
    <cfRule type="colorScale" priority="8">
      <colorScale>
        <cfvo type="num" val="0"/>
        <cfvo type="num" val="50"/>
        <cfvo type="num" val="100"/>
        <color rgb="FFF8696B"/>
        <color rgb="FFFFFF00"/>
        <color rgb="FF63BE7B"/>
      </colorScale>
    </cfRule>
  </conditionalFormatting>
  <conditionalFormatting sqref="B36">
    <cfRule type="colorScale" priority="7">
      <colorScale>
        <cfvo type="num" val="0"/>
        <cfvo type="num" val="50"/>
        <cfvo type="num" val="100"/>
        <color rgb="FFF8696B"/>
        <color rgb="FFFFFF00"/>
        <color rgb="FF63BE7B"/>
      </colorScale>
    </cfRule>
  </conditionalFormatting>
  <conditionalFormatting sqref="H4:H1003">
    <cfRule type="containsBlanks" priority="5" stopIfTrue="1">
      <formula>LEN(TRIM(H4))=0</formula>
    </cfRule>
    <cfRule type="cellIs" dxfId="140" priority="6" stopIfTrue="1" operator="greaterThan">
      <formula>0</formula>
    </cfRule>
  </conditionalFormatting>
  <dataValidations count="1">
    <dataValidation type="list" allowBlank="1" showInputMessage="1" showErrorMessage="1" sqref="A22">
      <formula1>"PDTDEV,PDTREG,PPSPRD"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9" tint="0.59999389629810485"/>
  </sheetPr>
  <dimension ref="A1:AB499"/>
  <sheetViews>
    <sheetView zoomScale="70" zoomScaleNormal="70" workbookViewId="0">
      <pane ySplit="19" topLeftCell="A23" activePane="bottomLeft" state="frozen"/>
      <selection pane="bottomLeft" activeCell="I36" sqref="I36"/>
    </sheetView>
  </sheetViews>
  <sheetFormatPr defaultRowHeight="15.75"/>
  <cols>
    <col min="1" max="1" width="4.25" customWidth="1"/>
    <col min="2" max="2" width="16" customWidth="1"/>
    <col min="3" max="3" width="30.75" customWidth="1"/>
    <col min="4" max="4" width="15.5" customWidth="1"/>
    <col min="5" max="5" width="12.625" customWidth="1"/>
    <col min="6" max="6" width="44" style="12" bestFit="1" customWidth="1"/>
    <col min="7" max="8" width="20.625" style="12" customWidth="1"/>
    <col min="9" max="9" width="15" bestFit="1" customWidth="1"/>
    <col min="10" max="13" width="4.75" customWidth="1"/>
    <col min="14" max="14" width="13" style="12" bestFit="1" customWidth="1"/>
    <col min="15" max="15" width="13" customWidth="1"/>
    <col min="16" max="16" width="13.25" customWidth="1"/>
    <col min="17" max="17" width="13" customWidth="1"/>
    <col min="18" max="18" width="13.375" customWidth="1"/>
    <col min="19" max="19" width="14" customWidth="1"/>
    <col min="20" max="20" width="15.375" customWidth="1"/>
    <col min="21" max="21" width="14.25" customWidth="1"/>
    <col min="22" max="23" width="14.75" customWidth="1"/>
    <col min="24" max="24" width="18.5" customWidth="1"/>
    <col min="25" max="27" width="10.125" bestFit="1" customWidth="1"/>
    <col min="33" max="33" width="4.625" bestFit="1" customWidth="1"/>
  </cols>
  <sheetData>
    <row r="1" spans="1:27">
      <c r="F1" s="18"/>
      <c r="G1"/>
      <c r="H1" s="174"/>
      <c r="I1" s="36"/>
    </row>
    <row r="2" spans="1:27">
      <c r="F2" s="18"/>
      <c r="G2"/>
      <c r="H2" s="174"/>
      <c r="I2" s="36"/>
    </row>
    <row r="3" spans="1:27">
      <c r="A3" s="19"/>
      <c r="B3" s="20"/>
      <c r="C3" s="20" t="s">
        <v>184</v>
      </c>
      <c r="D3" s="20"/>
      <c r="E3" s="20"/>
      <c r="F3" s="415">
        <v>42736</v>
      </c>
      <c r="G3" s="416"/>
      <c r="H3" s="20"/>
      <c r="I3" s="37"/>
      <c r="N3" s="52"/>
      <c r="O3" s="20"/>
      <c r="P3" s="20"/>
      <c r="Q3" s="20"/>
      <c r="R3" s="20"/>
      <c r="S3" s="20"/>
      <c r="T3" s="20"/>
      <c r="U3" s="20"/>
      <c r="V3" s="19"/>
      <c r="W3" s="21"/>
    </row>
    <row r="4" spans="1:27">
      <c r="A4" s="22"/>
      <c r="B4" s="23"/>
      <c r="C4" s="23" t="s">
        <v>120</v>
      </c>
      <c r="D4" s="23"/>
      <c r="E4" s="23"/>
      <c r="F4" s="44">
        <v>2426608</v>
      </c>
      <c r="G4" s="23"/>
      <c r="H4" s="23"/>
      <c r="I4" s="38"/>
      <c r="N4" s="53"/>
      <c r="O4" s="23"/>
      <c r="P4" s="23"/>
      <c r="Q4" s="23"/>
      <c r="R4" s="23"/>
      <c r="S4" s="23"/>
      <c r="T4" s="23"/>
      <c r="U4" s="23"/>
      <c r="V4" s="22"/>
      <c r="W4" s="24"/>
    </row>
    <row r="5" spans="1:27">
      <c r="A5" s="22"/>
      <c r="B5" s="23"/>
      <c r="C5" s="23" t="s">
        <v>94</v>
      </c>
      <c r="D5" s="23"/>
      <c r="E5" s="23"/>
      <c r="F5" s="44">
        <v>157847378</v>
      </c>
      <c r="G5" s="23"/>
      <c r="H5" s="23"/>
      <c r="I5" s="38"/>
      <c r="N5" s="53"/>
      <c r="O5" s="23"/>
      <c r="P5" s="23"/>
      <c r="Q5" s="23"/>
      <c r="R5" s="23"/>
      <c r="S5" s="23"/>
      <c r="T5" s="23"/>
      <c r="U5" s="23"/>
      <c r="V5" s="22"/>
      <c r="W5" s="24"/>
    </row>
    <row r="6" spans="1:27">
      <c r="A6" s="22"/>
      <c r="B6" s="23"/>
      <c r="C6" s="23" t="s">
        <v>39</v>
      </c>
      <c r="D6" s="23"/>
      <c r="E6" s="23"/>
      <c r="F6" s="44" t="s">
        <v>583</v>
      </c>
      <c r="G6" s="23"/>
      <c r="H6" s="23"/>
      <c r="I6" s="38"/>
      <c r="N6" s="53"/>
      <c r="O6" s="23"/>
      <c r="P6" s="23"/>
      <c r="Q6" s="23"/>
      <c r="R6" s="23"/>
      <c r="S6" s="23"/>
      <c r="T6" s="23"/>
      <c r="U6" s="23"/>
      <c r="V6" s="22"/>
      <c r="W6" s="24"/>
    </row>
    <row r="7" spans="1:27">
      <c r="A7" s="22"/>
      <c r="B7" s="23"/>
      <c r="C7" s="23" t="s">
        <v>38</v>
      </c>
      <c r="D7" s="23"/>
      <c r="E7" s="23"/>
      <c r="F7" s="44" t="s">
        <v>580</v>
      </c>
      <c r="G7" s="23"/>
      <c r="H7" s="23"/>
      <c r="I7" s="38"/>
      <c r="N7" s="53"/>
      <c r="O7" s="23"/>
      <c r="P7" s="23"/>
      <c r="Q7" s="23"/>
      <c r="R7" s="23"/>
      <c r="S7" s="23"/>
      <c r="T7" s="23"/>
      <c r="U7" s="23"/>
      <c r="V7" s="22"/>
      <c r="W7" s="24"/>
    </row>
    <row r="8" spans="1:27">
      <c r="A8" s="22"/>
      <c r="B8" s="23"/>
      <c r="C8" s="23" t="s">
        <v>40</v>
      </c>
      <c r="D8" s="23"/>
      <c r="E8" s="23"/>
      <c r="F8" s="45" t="s">
        <v>584</v>
      </c>
      <c r="G8" s="23"/>
      <c r="H8" s="23"/>
      <c r="I8" s="38"/>
      <c r="N8" s="53"/>
      <c r="O8" s="23"/>
      <c r="P8" s="23"/>
      <c r="Q8" s="23"/>
      <c r="R8" s="23"/>
      <c r="S8" s="23"/>
      <c r="T8" s="23"/>
      <c r="U8" s="23"/>
      <c r="V8" s="22"/>
      <c r="W8" s="24"/>
    </row>
    <row r="9" spans="1:27">
      <c r="A9" s="22"/>
      <c r="B9" s="23"/>
      <c r="C9" s="23" t="s">
        <v>36</v>
      </c>
      <c r="D9" s="23"/>
      <c r="E9" s="23"/>
      <c r="F9" s="414">
        <v>25312</v>
      </c>
      <c r="G9" s="23">
        <f>YEAR(F9)</f>
        <v>1969</v>
      </c>
      <c r="H9" s="23"/>
      <c r="I9" s="38"/>
      <c r="N9" s="53"/>
      <c r="O9" s="23"/>
      <c r="P9" s="23"/>
      <c r="Q9" s="23"/>
      <c r="R9" s="23"/>
      <c r="S9" s="23"/>
      <c r="T9" s="23"/>
      <c r="U9" s="23"/>
      <c r="V9" s="22"/>
      <c r="W9" s="24"/>
    </row>
    <row r="10" spans="1:27">
      <c r="A10" s="22"/>
      <c r="B10" s="23"/>
      <c r="C10" s="23" t="s">
        <v>37</v>
      </c>
      <c r="D10" s="23"/>
      <c r="E10" s="23"/>
      <c r="F10" s="51" t="s">
        <v>581</v>
      </c>
      <c r="G10" s="23"/>
      <c r="H10" s="23"/>
      <c r="I10" s="38"/>
      <c r="N10" s="53"/>
      <c r="O10" s="23"/>
      <c r="P10" s="23"/>
      <c r="Q10" s="23"/>
      <c r="R10" s="23"/>
      <c r="S10" s="23"/>
      <c r="T10" s="23"/>
      <c r="U10" s="23"/>
      <c r="V10" s="22"/>
      <c r="W10" s="24"/>
    </row>
    <row r="11" spans="1:27">
      <c r="A11" s="22"/>
      <c r="B11" s="23"/>
      <c r="C11" s="23" t="s">
        <v>96</v>
      </c>
      <c r="D11" s="23"/>
      <c r="E11" s="23"/>
      <c r="F11" s="44"/>
      <c r="G11" s="23"/>
      <c r="H11" s="23"/>
      <c r="I11" s="38"/>
      <c r="N11" s="53"/>
      <c r="O11" s="23"/>
      <c r="P11" s="23"/>
      <c r="Q11" s="23"/>
      <c r="R11" s="23"/>
      <c r="S11" s="23"/>
      <c r="T11" s="23"/>
      <c r="U11" s="23"/>
      <c r="V11" s="22"/>
      <c r="W11" s="24"/>
      <c r="Y11" s="16"/>
    </row>
    <row r="12" spans="1:27" ht="18.75">
      <c r="A12" s="22"/>
      <c r="B12" s="23"/>
      <c r="C12" s="23" t="s">
        <v>98</v>
      </c>
      <c r="D12" s="23"/>
      <c r="E12" s="23"/>
      <c r="F12" s="45"/>
      <c r="G12" s="23"/>
      <c r="H12" s="23"/>
      <c r="I12" s="38"/>
      <c r="N12" s="53"/>
      <c r="O12" s="28"/>
      <c r="P12" s="28"/>
      <c r="Q12" s="28"/>
      <c r="R12" s="23"/>
      <c r="S12" s="23"/>
      <c r="T12" s="23"/>
      <c r="U12" s="23"/>
      <c r="V12" s="22"/>
      <c r="W12" s="24"/>
      <c r="Y12" s="17"/>
      <c r="Z12" s="1"/>
      <c r="AA12" s="1"/>
    </row>
    <row r="13" spans="1:27">
      <c r="A13" s="22"/>
      <c r="B13" s="23"/>
      <c r="C13" s="23" t="s">
        <v>97</v>
      </c>
      <c r="D13" s="23"/>
      <c r="E13" s="23"/>
      <c r="F13" s="184" t="s">
        <v>100</v>
      </c>
      <c r="G13" s="23"/>
      <c r="H13" s="23"/>
      <c r="I13" s="38"/>
      <c r="N13" s="53"/>
      <c r="O13" s="28"/>
      <c r="P13" s="23"/>
      <c r="Q13" s="23"/>
      <c r="R13" s="23"/>
      <c r="S13" s="23"/>
      <c r="T13" s="23"/>
      <c r="U13" s="23"/>
      <c r="V13" s="22"/>
      <c r="W13" s="24"/>
      <c r="Y13" s="16"/>
    </row>
    <row r="14" spans="1:27">
      <c r="A14" s="22"/>
      <c r="B14" s="23"/>
      <c r="C14" s="23" t="s">
        <v>95</v>
      </c>
      <c r="D14" s="23"/>
      <c r="E14" s="23"/>
      <c r="F14" s="44" t="s">
        <v>585</v>
      </c>
      <c r="G14" s="23"/>
      <c r="H14" s="23"/>
      <c r="I14" s="38"/>
      <c r="N14" s="53"/>
      <c r="O14" s="23"/>
      <c r="P14" s="23"/>
      <c r="Q14" s="23"/>
      <c r="S14" s="23"/>
      <c r="T14" s="23"/>
      <c r="U14" s="23"/>
      <c r="V14" s="22"/>
      <c r="W14" s="24"/>
    </row>
    <row r="15" spans="1:27">
      <c r="A15" s="22"/>
      <c r="B15" s="23"/>
      <c r="C15" s="23" t="s">
        <v>93</v>
      </c>
      <c r="D15" s="23"/>
      <c r="E15" s="23"/>
      <c r="F15" s="44" t="s">
        <v>586</v>
      </c>
      <c r="G15" s="23"/>
      <c r="H15" s="23"/>
      <c r="I15" s="38"/>
      <c r="J15" s="23"/>
      <c r="K15" s="23"/>
      <c r="L15" s="23"/>
      <c r="M15" s="23"/>
      <c r="N15" s="54"/>
      <c r="O15" s="23"/>
      <c r="P15" s="23"/>
      <c r="Q15" s="23"/>
      <c r="R15" s="23"/>
      <c r="S15" s="23"/>
      <c r="T15" s="23"/>
      <c r="U15" s="23"/>
      <c r="V15" s="22"/>
      <c r="W15" s="24"/>
    </row>
    <row r="16" spans="1:27" ht="17.25" customHeight="1">
      <c r="A16" s="22"/>
      <c r="B16" s="23"/>
      <c r="C16" s="23" t="s">
        <v>102</v>
      </c>
      <c r="D16" s="23"/>
      <c r="E16" s="23"/>
      <c r="F16" s="44"/>
      <c r="G16" s="23"/>
      <c r="H16" s="23"/>
      <c r="I16" s="38"/>
      <c r="J16" s="23"/>
      <c r="K16" s="23"/>
      <c r="L16" s="23"/>
      <c r="M16" s="23"/>
      <c r="N16" s="54"/>
      <c r="O16" s="23"/>
      <c r="P16" s="23"/>
      <c r="Q16" s="23"/>
      <c r="R16" s="23"/>
      <c r="S16" s="23"/>
      <c r="T16" s="23"/>
      <c r="U16" s="23"/>
      <c r="V16" s="22"/>
      <c r="W16" s="24"/>
    </row>
    <row r="17" spans="1:28">
      <c r="A17" s="25"/>
      <c r="B17" s="26"/>
      <c r="C17" s="26" t="s">
        <v>103</v>
      </c>
      <c r="D17" s="26"/>
      <c r="E17" s="26"/>
      <c r="F17" s="46"/>
      <c r="G17" s="26"/>
      <c r="H17" s="26"/>
      <c r="I17" s="39"/>
      <c r="J17" s="26"/>
      <c r="K17" s="26"/>
      <c r="L17" s="26"/>
      <c r="M17" s="26"/>
      <c r="N17" s="55"/>
      <c r="O17" s="26"/>
      <c r="P17" s="26"/>
      <c r="Q17" s="26"/>
      <c r="R17" s="26"/>
      <c r="S17" s="26"/>
      <c r="T17" s="26"/>
      <c r="U17" s="26"/>
      <c r="V17" s="25"/>
      <c r="W17" s="27"/>
    </row>
    <row r="18" spans="1:28">
      <c r="A18" s="22"/>
      <c r="B18" s="23"/>
      <c r="C18" s="23" t="s">
        <v>92</v>
      </c>
      <c r="D18" s="23"/>
      <c r="E18" s="23"/>
      <c r="F18" s="44" t="s">
        <v>587</v>
      </c>
      <c r="G18" s="23"/>
      <c r="H18" s="23"/>
      <c r="I18" s="38"/>
      <c r="J18" s="23"/>
      <c r="K18" s="23"/>
      <c r="L18" s="23"/>
      <c r="M18" s="23"/>
      <c r="N18" s="54"/>
      <c r="O18" s="23"/>
      <c r="P18" s="23"/>
      <c r="Q18" s="23"/>
      <c r="R18" s="23"/>
      <c r="S18" s="23"/>
      <c r="T18" s="23"/>
      <c r="U18" s="23"/>
      <c r="V18" s="22"/>
      <c r="W18" s="24"/>
    </row>
    <row r="19" spans="1:28" ht="16.5" thickBot="1">
      <c r="A19" s="25"/>
      <c r="B19" s="26"/>
      <c r="C19" s="26"/>
      <c r="D19" s="26"/>
      <c r="E19" s="26"/>
      <c r="F19" s="46">
        <v>2743931</v>
      </c>
      <c r="G19" s="26"/>
      <c r="H19" s="26"/>
      <c r="I19" s="39"/>
      <c r="J19" s="26"/>
      <c r="K19" s="26"/>
      <c r="L19" s="26"/>
      <c r="M19" s="26"/>
      <c r="N19" s="55" t="s">
        <v>99</v>
      </c>
      <c r="O19" s="26"/>
      <c r="P19" s="26"/>
      <c r="Q19" s="26"/>
      <c r="R19" s="26"/>
      <c r="S19" s="26"/>
      <c r="T19" s="26"/>
      <c r="U19" s="26"/>
      <c r="V19" s="25"/>
      <c r="W19" s="27"/>
    </row>
    <row r="20" spans="1:28" ht="18" thickBot="1">
      <c r="A20" s="5" t="s">
        <v>24</v>
      </c>
      <c r="B20" s="5" t="s">
        <v>15</v>
      </c>
      <c r="C20" s="5" t="s">
        <v>30</v>
      </c>
      <c r="D20" s="5" t="s">
        <v>31</v>
      </c>
      <c r="E20" s="5" t="s">
        <v>32</v>
      </c>
      <c r="F20" s="13" t="s">
        <v>16</v>
      </c>
      <c r="G20" s="13" t="s">
        <v>199</v>
      </c>
      <c r="H20" s="13" t="s">
        <v>33</v>
      </c>
      <c r="I20" s="40" t="s">
        <v>205</v>
      </c>
      <c r="J20" s="5">
        <v>20884483</v>
      </c>
      <c r="K20" s="5"/>
      <c r="L20" s="5"/>
      <c r="M20" s="5"/>
      <c r="N20" s="56" t="s">
        <v>588</v>
      </c>
      <c r="O20" s="29"/>
      <c r="P20" s="29"/>
      <c r="Q20" s="29"/>
      <c r="R20" s="29"/>
      <c r="S20" s="29"/>
      <c r="T20" s="29"/>
      <c r="U20" s="29"/>
      <c r="V20" s="29"/>
      <c r="W20" s="29"/>
      <c r="X20" s="180"/>
    </row>
    <row r="21" spans="1:28" ht="16.5" thickTop="1">
      <c r="A21" s="42">
        <v>21</v>
      </c>
      <c r="B21" s="43"/>
      <c r="C21" s="8"/>
      <c r="D21" s="8"/>
      <c r="E21" s="8"/>
      <c r="F21" s="14" t="s">
        <v>100</v>
      </c>
      <c r="G21" s="30"/>
      <c r="H21" s="30" t="s">
        <v>100</v>
      </c>
      <c r="I21" s="328"/>
      <c r="J21" s="32"/>
      <c r="K21" s="32"/>
      <c r="L21" s="32"/>
      <c r="M21" s="32"/>
      <c r="N21" s="57" t="s">
        <v>100</v>
      </c>
      <c r="O21" s="57"/>
      <c r="P21" s="57"/>
      <c r="Q21" s="57"/>
      <c r="R21" s="57"/>
      <c r="S21" s="57"/>
      <c r="T21" s="57"/>
      <c r="U21" s="57"/>
      <c r="V21" s="57"/>
      <c r="W21" s="47"/>
      <c r="X21" s="183"/>
    </row>
    <row r="22" spans="1:28">
      <c r="A22" s="43">
        <v>22</v>
      </c>
      <c r="B22" s="43"/>
      <c r="C22" s="8"/>
      <c r="D22" s="8"/>
      <c r="E22" s="8"/>
      <c r="F22" s="14" t="s">
        <v>100</v>
      </c>
      <c r="G22" s="30"/>
      <c r="H22" s="30" t="s">
        <v>100</v>
      </c>
      <c r="I22" s="329"/>
      <c r="J22" s="34"/>
      <c r="K22" s="34"/>
      <c r="L22" s="34"/>
      <c r="M22" s="34"/>
      <c r="N22" s="58" t="s">
        <v>100</v>
      </c>
      <c r="O22" s="58"/>
      <c r="P22" s="58"/>
      <c r="Q22" s="58"/>
      <c r="R22" s="58"/>
      <c r="S22" s="58"/>
      <c r="T22" s="58"/>
      <c r="U22" s="58"/>
      <c r="V22" s="58"/>
      <c r="W22" s="48"/>
      <c r="X22" s="183"/>
    </row>
    <row r="23" spans="1:28">
      <c r="A23" s="43">
        <v>23</v>
      </c>
      <c r="B23" s="43" t="s">
        <v>29</v>
      </c>
      <c r="C23" s="8" t="s">
        <v>25</v>
      </c>
      <c r="D23" s="8"/>
      <c r="E23" s="8"/>
      <c r="F23" s="14" t="s">
        <v>100</v>
      </c>
      <c r="G23" s="30" t="s">
        <v>100</v>
      </c>
      <c r="H23" s="30" t="s">
        <v>100</v>
      </c>
      <c r="I23" s="329"/>
      <c r="J23" s="34"/>
      <c r="K23" s="34"/>
      <c r="L23" s="34"/>
      <c r="M23" s="34"/>
      <c r="N23" s="59" t="s">
        <v>100</v>
      </c>
      <c r="O23" s="59"/>
      <c r="P23" s="59"/>
      <c r="Q23" s="59"/>
      <c r="R23" s="59"/>
      <c r="S23" s="59"/>
      <c r="T23" s="59"/>
      <c r="U23" s="59"/>
      <c r="V23" s="59"/>
      <c r="W23" s="49"/>
      <c r="X23" s="183"/>
    </row>
    <row r="24" spans="1:28">
      <c r="A24" s="43">
        <v>24</v>
      </c>
      <c r="B24" s="43"/>
      <c r="C24" s="8"/>
      <c r="D24" s="8"/>
      <c r="E24" s="8"/>
      <c r="F24" s="14" t="s">
        <v>26</v>
      </c>
      <c r="G24" s="30" t="s">
        <v>109</v>
      </c>
      <c r="H24" s="30" t="s">
        <v>100</v>
      </c>
      <c r="I24" s="329"/>
      <c r="J24" s="35">
        <v>40603</v>
      </c>
      <c r="K24" s="35"/>
      <c r="L24" s="35"/>
      <c r="M24" s="35"/>
      <c r="N24" s="59" t="s">
        <v>589</v>
      </c>
      <c r="O24" s="59"/>
      <c r="P24" s="59"/>
      <c r="Q24" s="59"/>
      <c r="R24" s="59"/>
      <c r="S24" s="59"/>
      <c r="T24" s="59"/>
      <c r="U24" s="59"/>
      <c r="V24" s="59"/>
      <c r="W24" s="50"/>
      <c r="X24" s="182"/>
      <c r="Y24" s="1"/>
    </row>
    <row r="25" spans="1:28">
      <c r="A25" s="43">
        <v>25</v>
      </c>
      <c r="B25" s="43"/>
      <c r="C25" s="8"/>
      <c r="D25" s="8"/>
      <c r="E25" s="8"/>
      <c r="F25" s="14" t="s">
        <v>27</v>
      </c>
      <c r="G25" s="30" t="s">
        <v>110</v>
      </c>
      <c r="H25" s="30" t="s">
        <v>100</v>
      </c>
      <c r="I25" s="331"/>
      <c r="J25" s="34"/>
      <c r="K25" s="34"/>
      <c r="L25" s="34"/>
      <c r="M25" s="34"/>
      <c r="N25" s="59" t="s">
        <v>100</v>
      </c>
      <c r="O25" s="59"/>
      <c r="P25" s="59"/>
      <c r="Q25" s="59"/>
      <c r="R25" s="59"/>
      <c r="S25" s="59"/>
      <c r="T25" s="59"/>
      <c r="U25" s="59"/>
      <c r="V25" s="59"/>
      <c r="W25" s="50"/>
      <c r="X25" s="183"/>
    </row>
    <row r="26" spans="1:28">
      <c r="A26" s="43">
        <v>26</v>
      </c>
      <c r="B26" s="43"/>
      <c r="C26" s="8"/>
      <c r="D26" s="8"/>
      <c r="E26" s="8"/>
      <c r="F26" s="14" t="s">
        <v>28</v>
      </c>
      <c r="G26" s="30" t="s">
        <v>100</v>
      </c>
      <c r="H26" s="30" t="s">
        <v>100</v>
      </c>
      <c r="I26" s="329"/>
      <c r="J26" s="34">
        <v>20884483</v>
      </c>
      <c r="K26" s="34"/>
      <c r="L26" s="34"/>
      <c r="M26" s="34"/>
      <c r="N26" s="59" t="s">
        <v>588</v>
      </c>
      <c r="O26" s="59"/>
      <c r="P26" s="59"/>
      <c r="Q26" s="59"/>
      <c r="R26" s="59"/>
      <c r="S26" s="59"/>
      <c r="T26" s="59"/>
      <c r="U26" s="59"/>
      <c r="V26" s="59"/>
      <c r="W26" s="49"/>
      <c r="X26" s="183"/>
    </row>
    <row r="27" spans="1:28">
      <c r="A27" s="43">
        <v>27</v>
      </c>
      <c r="B27" s="43"/>
      <c r="C27" s="8"/>
      <c r="D27" s="8"/>
      <c r="E27" s="8"/>
      <c r="F27" s="14" t="s">
        <v>100</v>
      </c>
      <c r="G27" s="30" t="s">
        <v>100</v>
      </c>
      <c r="H27" s="30" t="s">
        <v>100</v>
      </c>
      <c r="I27" s="329"/>
      <c r="J27" s="34"/>
      <c r="K27" s="34"/>
      <c r="L27" s="34"/>
      <c r="M27" s="34"/>
      <c r="N27" s="185"/>
      <c r="O27" s="59"/>
      <c r="P27" s="59"/>
      <c r="Q27" s="59"/>
      <c r="R27" s="59"/>
      <c r="S27" s="59"/>
      <c r="T27" s="59"/>
      <c r="U27" s="59"/>
      <c r="V27" s="59"/>
      <c r="W27" s="49"/>
      <c r="X27" s="183"/>
    </row>
    <row r="28" spans="1:28">
      <c r="A28" s="43">
        <v>28</v>
      </c>
      <c r="B28" s="43"/>
      <c r="C28" s="8" t="s">
        <v>168</v>
      </c>
      <c r="D28" s="8"/>
      <c r="E28" s="8"/>
      <c r="F28" s="14" t="s">
        <v>119</v>
      </c>
      <c r="G28" s="30" t="s">
        <v>100</v>
      </c>
      <c r="H28" s="30" t="s">
        <v>100</v>
      </c>
      <c r="I28" s="354">
        <f>N28</f>
        <v>20</v>
      </c>
      <c r="J28" s="33"/>
      <c r="K28" s="33"/>
      <c r="L28" s="33"/>
      <c r="M28" s="33"/>
      <c r="N28" s="185">
        <v>20</v>
      </c>
      <c r="O28" s="185"/>
      <c r="P28" s="185"/>
      <c r="Q28" s="185"/>
      <c r="R28" s="185"/>
      <c r="S28" s="185"/>
      <c r="T28" s="185"/>
      <c r="U28" s="185"/>
      <c r="V28" s="185"/>
      <c r="W28" s="185"/>
      <c r="X28" s="183"/>
    </row>
    <row r="29" spans="1:28">
      <c r="A29" s="43">
        <v>29</v>
      </c>
      <c r="B29" s="43" t="s">
        <v>17</v>
      </c>
      <c r="C29" s="8" t="s">
        <v>23</v>
      </c>
      <c r="D29" s="8"/>
      <c r="E29" s="60"/>
      <c r="F29" s="14" t="s">
        <v>119</v>
      </c>
      <c r="G29" s="30" t="s">
        <v>100</v>
      </c>
      <c r="H29" s="30" t="s">
        <v>100</v>
      </c>
      <c r="I29" s="330">
        <f>SUM(N29:W29)</f>
        <v>1132.1099999999999</v>
      </c>
      <c r="J29" s="33">
        <v>4773</v>
      </c>
      <c r="K29" s="33"/>
      <c r="L29" s="33"/>
      <c r="M29" s="33"/>
      <c r="N29" s="185">
        <v>1132.1099999999999</v>
      </c>
      <c r="O29" s="185"/>
      <c r="P29" s="185"/>
      <c r="Q29" s="185"/>
      <c r="R29" s="185"/>
      <c r="S29" s="185"/>
      <c r="T29" s="185"/>
      <c r="U29" s="185"/>
      <c r="V29" s="185"/>
      <c r="W29" s="185"/>
      <c r="X29" s="186"/>
    </row>
    <row r="30" spans="1:28">
      <c r="A30" s="43">
        <v>30</v>
      </c>
      <c r="B30" s="43"/>
      <c r="C30" s="8"/>
      <c r="D30" s="8"/>
      <c r="E30" s="8"/>
      <c r="F30" s="14" t="s">
        <v>214</v>
      </c>
      <c r="G30" s="30"/>
      <c r="H30" s="30" t="s">
        <v>100</v>
      </c>
      <c r="I30" s="330">
        <f>SUM(N30:V30)</f>
        <v>0</v>
      </c>
      <c r="J30" s="33"/>
      <c r="K30" s="33"/>
      <c r="L30" s="33"/>
      <c r="M30" s="33"/>
      <c r="N30" s="185">
        <v>0</v>
      </c>
      <c r="O30" s="185"/>
      <c r="P30" s="185"/>
      <c r="Q30" s="185"/>
      <c r="R30" s="185"/>
      <c r="S30" s="185"/>
      <c r="T30" s="185"/>
      <c r="U30" s="185"/>
      <c r="V30" s="185"/>
      <c r="W30" s="185"/>
      <c r="X30" s="183"/>
    </row>
    <row r="31" spans="1:28">
      <c r="A31" s="43">
        <v>31</v>
      </c>
      <c r="B31" s="43"/>
      <c r="C31" s="8"/>
      <c r="D31" s="8"/>
      <c r="E31" s="8"/>
      <c r="F31" s="14" t="s">
        <v>215</v>
      </c>
      <c r="G31" s="30"/>
      <c r="H31" s="30" t="s">
        <v>100</v>
      </c>
      <c r="I31" s="330">
        <f>SUM(N31:W31)/MAX(1,COUNTIF(N31:W31,"&gt;0"))</f>
        <v>0.76976</v>
      </c>
      <c r="J31" s="33">
        <v>0</v>
      </c>
      <c r="K31" s="33"/>
      <c r="L31" s="33"/>
      <c r="M31" s="33"/>
      <c r="N31" s="185">
        <v>0.76976</v>
      </c>
      <c r="O31" s="185"/>
      <c r="P31" s="185"/>
      <c r="Q31" s="185"/>
      <c r="R31" s="185"/>
      <c r="S31" s="185"/>
      <c r="T31" s="185"/>
      <c r="U31" s="185"/>
      <c r="V31" s="185"/>
      <c r="W31" s="185"/>
      <c r="X31" s="183">
        <f>COUNTIF(N31:W31,"&gt;0")</f>
        <v>1</v>
      </c>
      <c r="Y31" s="410"/>
      <c r="Z31" s="410"/>
      <c r="AA31" s="410"/>
      <c r="AB31" s="378"/>
    </row>
    <row r="32" spans="1:28">
      <c r="A32" s="43">
        <v>32</v>
      </c>
      <c r="B32" s="43"/>
      <c r="C32" s="8"/>
      <c r="D32" s="8"/>
      <c r="E32" s="60"/>
      <c r="F32" s="14" t="s">
        <v>216</v>
      </c>
      <c r="G32" s="30" t="s">
        <v>100</v>
      </c>
      <c r="H32" s="30" t="s">
        <v>100</v>
      </c>
      <c r="I32" s="330">
        <f>IFERROR((N32*N31+O32*O31+P32*P31+Q32*Q31+R32*R31+S32*S31+T32*T31+U32*U31+V32*V31+W32*W31)/Parttimepercentage,0)</f>
        <v>26118.0939</v>
      </c>
      <c r="J32" s="33"/>
      <c r="K32" s="33"/>
      <c r="L32" s="33"/>
      <c r="M32" s="33"/>
      <c r="N32" s="185">
        <v>26118.0939</v>
      </c>
      <c r="O32" s="185"/>
      <c r="P32" s="185"/>
      <c r="Q32" s="185"/>
      <c r="R32" s="185"/>
      <c r="S32" s="185"/>
      <c r="T32" s="185"/>
      <c r="U32" s="185"/>
      <c r="V32" s="185"/>
      <c r="W32" s="185"/>
      <c r="X32" s="186"/>
      <c r="Z32" s="378"/>
      <c r="AA32" s="378"/>
      <c r="AB32" s="378"/>
    </row>
    <row r="33" spans="1:27">
      <c r="A33" s="43">
        <v>33</v>
      </c>
      <c r="B33" s="43"/>
      <c r="C33" s="8"/>
      <c r="D33" s="8"/>
      <c r="E33" s="8"/>
      <c r="F33" s="14" t="s">
        <v>217</v>
      </c>
      <c r="G33" s="30" t="s">
        <v>171</v>
      </c>
      <c r="H33" s="30" t="s">
        <v>100</v>
      </c>
      <c r="I33" s="330">
        <f>N33*COUNTIF(N31:W31,"&gt;0")</f>
        <v>12866</v>
      </c>
      <c r="J33" s="33"/>
      <c r="K33" s="33"/>
      <c r="L33" s="33"/>
      <c r="M33" s="33"/>
      <c r="N33" s="185">
        <v>12866</v>
      </c>
      <c r="O33" s="185"/>
      <c r="P33" s="185"/>
      <c r="Q33" s="185"/>
      <c r="R33" s="185"/>
      <c r="S33" s="185"/>
      <c r="T33" s="185"/>
      <c r="U33" s="185"/>
      <c r="V33" s="185"/>
      <c r="W33" s="185"/>
      <c r="X33" s="186"/>
      <c r="Z33" s="378"/>
      <c r="AA33" s="378"/>
    </row>
    <row r="34" spans="1:27">
      <c r="A34" s="43">
        <v>34</v>
      </c>
      <c r="B34" s="43"/>
      <c r="C34" s="8"/>
      <c r="D34" s="8"/>
      <c r="E34" s="8"/>
      <c r="F34" s="14" t="s">
        <v>218</v>
      </c>
      <c r="G34" s="30" t="s">
        <v>100</v>
      </c>
      <c r="H34" s="30" t="s">
        <v>100</v>
      </c>
      <c r="I34" s="330">
        <f>SUM(N34:W34)</f>
        <v>1132.1117099999999</v>
      </c>
      <c r="J34" s="33"/>
      <c r="K34" s="33"/>
      <c r="L34" s="33"/>
      <c r="M34" s="33"/>
      <c r="N34" s="185">
        <v>1132.1117099999999</v>
      </c>
      <c r="O34" s="185"/>
      <c r="P34" s="185"/>
      <c r="Q34" s="185"/>
      <c r="R34" s="185"/>
      <c r="S34" s="185"/>
      <c r="T34" s="185"/>
      <c r="U34" s="185"/>
      <c r="V34" s="185"/>
      <c r="W34" s="185"/>
      <c r="X34" s="186"/>
    </row>
    <row r="35" spans="1:27" s="174" customFormat="1">
      <c r="A35" s="43">
        <v>35</v>
      </c>
      <c r="B35" s="43"/>
      <c r="C35" s="8"/>
      <c r="D35" s="8"/>
      <c r="E35" s="8"/>
      <c r="F35" s="14" t="s">
        <v>219</v>
      </c>
      <c r="G35" s="30"/>
      <c r="H35" s="30" t="s">
        <v>100</v>
      </c>
      <c r="I35" s="330">
        <f>MAX(N35:W35)</f>
        <v>1.75</v>
      </c>
      <c r="J35" s="33"/>
      <c r="K35" s="33"/>
      <c r="L35" s="33"/>
      <c r="M35" s="33"/>
      <c r="N35" s="185">
        <v>1.75</v>
      </c>
      <c r="O35" s="185"/>
      <c r="P35" s="185"/>
      <c r="Q35" s="185"/>
      <c r="R35" s="185"/>
      <c r="S35" s="185"/>
      <c r="T35" s="185"/>
      <c r="U35" s="185"/>
      <c r="V35" s="185"/>
      <c r="W35" s="185"/>
      <c r="X35" s="186"/>
    </row>
    <row r="36" spans="1:27" s="174" customFormat="1">
      <c r="A36" s="43">
        <v>36</v>
      </c>
      <c r="B36" s="43"/>
      <c r="C36" s="8"/>
      <c r="D36" s="8"/>
      <c r="E36" s="8"/>
      <c r="F36" s="14" t="s">
        <v>220</v>
      </c>
      <c r="G36" s="30" t="s">
        <v>100</v>
      </c>
      <c r="H36" s="30" t="s">
        <v>100</v>
      </c>
      <c r="I36" s="331">
        <f>MAX(IFERROR(DATEVALUE(M36),0),IFERROR(DATEVALUE(N36),0),IFERROR(DATEVALUE(O36),0))</f>
        <v>49766</v>
      </c>
      <c r="J36" s="33"/>
      <c r="K36" s="33"/>
      <c r="L36" s="33"/>
      <c r="M36" s="33"/>
      <c r="N36" s="59" t="s">
        <v>590</v>
      </c>
      <c r="O36" s="59"/>
      <c r="P36" s="59"/>
      <c r="Q36" s="59"/>
      <c r="R36" s="59"/>
      <c r="S36" s="59"/>
      <c r="T36" s="59"/>
      <c r="U36" s="59"/>
      <c r="V36" s="59"/>
      <c r="W36" s="49"/>
      <c r="X36" s="183"/>
    </row>
    <row r="37" spans="1:27" s="174" customFormat="1">
      <c r="A37" s="43">
        <v>37</v>
      </c>
      <c r="B37" s="43"/>
      <c r="C37" s="8"/>
      <c r="D37" s="8"/>
      <c r="E37" s="8"/>
      <c r="F37" s="14" t="s">
        <v>221</v>
      </c>
      <c r="G37" s="30" t="s">
        <v>100</v>
      </c>
      <c r="H37" s="30" t="s">
        <v>100</v>
      </c>
      <c r="I37" s="331">
        <f>MAX(IFERROR(DATEVALUE(M37),0),IFERROR(DATEVALUE(N37),0),IFERROR(DATEVALUE(O37),0))</f>
        <v>47209</v>
      </c>
      <c r="J37" s="33"/>
      <c r="K37" s="33"/>
      <c r="L37" s="33"/>
      <c r="M37" s="33"/>
      <c r="N37" s="59" t="s">
        <v>591</v>
      </c>
      <c r="O37" s="59"/>
      <c r="P37" s="59"/>
      <c r="Q37" s="59"/>
      <c r="R37" s="59"/>
      <c r="S37" s="59"/>
      <c r="T37" s="59"/>
      <c r="U37" s="59"/>
      <c r="V37" s="59"/>
      <c r="W37" s="49"/>
      <c r="X37" s="183"/>
    </row>
    <row r="38" spans="1:27" s="174" customFormat="1">
      <c r="A38" s="43">
        <v>38</v>
      </c>
      <c r="B38" s="43"/>
      <c r="C38" s="8"/>
      <c r="D38" s="8"/>
      <c r="E38" s="8"/>
      <c r="F38" s="14" t="s">
        <v>222</v>
      </c>
      <c r="G38" s="30" t="s">
        <v>100</v>
      </c>
      <c r="H38" s="30" t="s">
        <v>100</v>
      </c>
      <c r="I38" s="382">
        <f>SUM(N38:W38)</f>
        <v>0</v>
      </c>
      <c r="J38" s="33"/>
      <c r="K38" s="33"/>
      <c r="L38" s="33"/>
      <c r="M38" s="33"/>
      <c r="N38" s="185">
        <v>0</v>
      </c>
      <c r="O38" s="185"/>
      <c r="P38" s="185"/>
      <c r="Q38" s="185"/>
      <c r="R38" s="185"/>
      <c r="S38" s="185"/>
      <c r="T38" s="185"/>
      <c r="U38" s="185"/>
      <c r="V38" s="185"/>
      <c r="W38" s="185"/>
      <c r="X38" s="183"/>
    </row>
    <row r="39" spans="1:27" s="174" customFormat="1">
      <c r="A39" s="43">
        <v>39</v>
      </c>
      <c r="B39" s="43"/>
      <c r="C39" s="8"/>
      <c r="D39" s="8"/>
      <c r="E39" s="8"/>
      <c r="F39" s="14" t="s">
        <v>223</v>
      </c>
      <c r="G39" s="30"/>
      <c r="H39" s="30" t="s">
        <v>100</v>
      </c>
      <c r="I39" s="382">
        <f>SUM(N39:W39)</f>
        <v>0</v>
      </c>
      <c r="J39" s="33"/>
      <c r="K39" s="33"/>
      <c r="L39" s="33"/>
      <c r="M39" s="33"/>
      <c r="N39" s="185">
        <v>0</v>
      </c>
      <c r="O39" s="185"/>
      <c r="P39" s="185"/>
      <c r="Q39" s="185"/>
      <c r="R39" s="185"/>
      <c r="S39" s="185"/>
      <c r="T39" s="185"/>
      <c r="U39" s="185"/>
      <c r="V39" s="185"/>
      <c r="W39" s="185"/>
      <c r="X39" s="183"/>
    </row>
    <row r="40" spans="1:27" s="174" customFormat="1">
      <c r="A40" s="43">
        <v>40</v>
      </c>
      <c r="B40" s="43"/>
      <c r="C40" s="8"/>
      <c r="D40" s="8"/>
      <c r="E40" s="8"/>
      <c r="F40" s="14" t="s">
        <v>224</v>
      </c>
      <c r="G40" s="30" t="s">
        <v>100</v>
      </c>
      <c r="H40" s="30" t="s">
        <v>100</v>
      </c>
      <c r="I40" s="382">
        <f>IF($N$38&gt;0,N40)+IF($O$38&gt;0,O40)+IF($P$38&gt;0,P40)+IF($Q$38&gt;0,Q40)+IF($R$38&gt;0,R40)+IF($S$38&gt;0,S40)+IF($T$38&gt;0,T40)+IF($U$38&gt;0,U40)+IF($V$38&gt;0,V40)+IF($W$38&gt;0,W40)</f>
        <v>0</v>
      </c>
      <c r="J40" s="33"/>
      <c r="K40" s="33"/>
      <c r="L40" s="33"/>
      <c r="M40" s="33"/>
      <c r="N40" s="185">
        <v>0</v>
      </c>
      <c r="O40" s="185"/>
      <c r="P40" s="185"/>
      <c r="Q40" s="185"/>
      <c r="R40" s="185"/>
      <c r="S40" s="185"/>
      <c r="T40" s="185"/>
      <c r="U40" s="185"/>
      <c r="V40" s="185"/>
      <c r="W40" s="185"/>
      <c r="X40" s="183"/>
    </row>
    <row r="41" spans="1:27" s="378" customFormat="1">
      <c r="A41" s="43">
        <v>41</v>
      </c>
      <c r="B41" s="43"/>
      <c r="C41" s="8"/>
      <c r="D41" s="8"/>
      <c r="E41" s="8"/>
      <c r="F41" s="379" t="s">
        <v>525</v>
      </c>
      <c r="G41" s="30"/>
      <c r="H41" s="30" t="s">
        <v>100</v>
      </c>
      <c r="I41" s="382">
        <f t="shared" ref="I41:I61" si="0">SUM(N41:W41)</f>
        <v>0</v>
      </c>
      <c r="J41" s="33"/>
      <c r="K41" s="33"/>
      <c r="L41" s="33"/>
      <c r="M41" s="33"/>
      <c r="N41" s="185"/>
      <c r="O41" s="185"/>
      <c r="P41" s="185"/>
      <c r="Q41" s="185"/>
      <c r="R41" s="185"/>
      <c r="S41" s="185"/>
      <c r="T41" s="185"/>
      <c r="U41" s="185"/>
      <c r="V41" s="185"/>
      <c r="W41" s="185"/>
      <c r="X41" s="183"/>
    </row>
    <row r="42" spans="1:27" s="378" customFormat="1">
      <c r="A42" s="43">
        <v>42</v>
      </c>
      <c r="B42" s="43"/>
      <c r="C42" s="8"/>
      <c r="D42" s="8"/>
      <c r="E42" s="8"/>
      <c r="F42" s="379" t="s">
        <v>524</v>
      </c>
      <c r="G42" s="30"/>
      <c r="H42" s="30" t="s">
        <v>100</v>
      </c>
      <c r="I42" s="382">
        <f>IF($N$38&gt;0,N42)+IF($O$38&gt;0,O42)+IF($P$38&gt;0,P42)+IF($Q$38&gt;0,Q42)+IF($R$38&gt;0,R42)+IF($S$38&gt;0,S42)+IF($T$38&gt;0,T42)+IF($U$38&gt;0,U42)+IF($V$38&gt;0,V42)+IF($W$38&gt;0,W42)</f>
        <v>0</v>
      </c>
      <c r="J42" s="33"/>
      <c r="K42" s="33"/>
      <c r="L42" s="33"/>
      <c r="M42" s="33"/>
      <c r="N42" s="185"/>
      <c r="O42" s="185"/>
      <c r="P42" s="185"/>
      <c r="Q42" s="185"/>
      <c r="R42" s="185"/>
      <c r="S42" s="185"/>
      <c r="T42" s="185"/>
      <c r="U42" s="185"/>
      <c r="V42" s="185"/>
      <c r="W42" s="185"/>
      <c r="X42" s="183"/>
    </row>
    <row r="43" spans="1:27" s="378" customFormat="1">
      <c r="A43" s="43">
        <v>43</v>
      </c>
      <c r="B43" s="43"/>
      <c r="C43" s="8"/>
      <c r="D43" s="8"/>
      <c r="E43" s="8"/>
      <c r="F43" s="379" t="s">
        <v>522</v>
      </c>
      <c r="G43" s="30"/>
      <c r="H43" s="30" t="s">
        <v>100</v>
      </c>
      <c r="I43" s="382">
        <f t="shared" si="0"/>
        <v>0</v>
      </c>
      <c r="J43" s="33"/>
      <c r="K43" s="33"/>
      <c r="L43" s="33"/>
      <c r="M43" s="33"/>
      <c r="N43" s="185"/>
      <c r="O43" s="185"/>
      <c r="P43" s="185"/>
      <c r="Q43" s="185"/>
      <c r="R43" s="185"/>
      <c r="S43" s="185"/>
      <c r="T43" s="185"/>
      <c r="U43" s="185"/>
      <c r="V43" s="185"/>
      <c r="W43" s="185"/>
      <c r="X43" s="183"/>
    </row>
    <row r="44" spans="1:27" s="378" customFormat="1">
      <c r="A44" s="43">
        <v>44</v>
      </c>
      <c r="B44" s="43"/>
      <c r="C44" s="8"/>
      <c r="D44" s="8"/>
      <c r="E44" s="8"/>
      <c r="F44" s="379" t="s">
        <v>523</v>
      </c>
      <c r="G44" s="30"/>
      <c r="H44" s="30" t="s">
        <v>100</v>
      </c>
      <c r="I44" s="382">
        <f t="shared" si="0"/>
        <v>0</v>
      </c>
      <c r="J44" s="33"/>
      <c r="K44" s="33"/>
      <c r="L44" s="33"/>
      <c r="M44" s="33"/>
      <c r="N44" s="185"/>
      <c r="O44" s="185"/>
      <c r="P44" s="185"/>
      <c r="Q44" s="185"/>
      <c r="R44" s="185"/>
      <c r="S44" s="185"/>
      <c r="T44" s="185"/>
      <c r="U44" s="185"/>
      <c r="V44" s="185"/>
      <c r="W44" s="185"/>
      <c r="X44" s="183"/>
    </row>
    <row r="45" spans="1:27" s="378" customFormat="1">
      <c r="A45" s="43">
        <v>45</v>
      </c>
      <c r="B45" s="43"/>
      <c r="C45" s="8"/>
      <c r="D45" s="8"/>
      <c r="E45" s="8"/>
      <c r="F45" s="379" t="s">
        <v>526</v>
      </c>
      <c r="G45" s="30"/>
      <c r="H45" s="30" t="s">
        <v>100</v>
      </c>
      <c r="I45" s="382">
        <f t="shared" si="0"/>
        <v>0</v>
      </c>
      <c r="J45" s="33"/>
      <c r="K45" s="33"/>
      <c r="L45" s="33"/>
      <c r="M45" s="33"/>
      <c r="N45" s="185">
        <v>0</v>
      </c>
      <c r="O45" s="185"/>
      <c r="P45" s="185"/>
      <c r="Q45" s="185"/>
      <c r="R45" s="185"/>
      <c r="S45" s="185"/>
      <c r="T45" s="185"/>
      <c r="U45" s="185"/>
      <c r="V45" s="185"/>
      <c r="W45" s="185"/>
      <c r="X45" s="183"/>
    </row>
    <row r="46" spans="1:27" s="378" customFormat="1">
      <c r="A46" s="43">
        <v>46</v>
      </c>
      <c r="B46" s="43"/>
      <c r="C46" s="8"/>
      <c r="D46" s="8"/>
      <c r="E46" s="8"/>
      <c r="F46" s="379" t="s">
        <v>536</v>
      </c>
      <c r="G46" s="30"/>
      <c r="H46" s="30" t="s">
        <v>100</v>
      </c>
      <c r="I46" s="382">
        <f t="shared" si="0"/>
        <v>0</v>
      </c>
      <c r="J46" s="33"/>
      <c r="K46" s="33"/>
      <c r="L46" s="33"/>
      <c r="M46" s="33"/>
      <c r="N46" s="185"/>
      <c r="O46" s="185"/>
      <c r="P46" s="185"/>
      <c r="Q46" s="185"/>
      <c r="R46" s="185"/>
      <c r="S46" s="185"/>
      <c r="T46" s="185"/>
      <c r="U46" s="185"/>
      <c r="V46" s="185"/>
      <c r="W46" s="185"/>
      <c r="X46" s="183"/>
    </row>
    <row r="47" spans="1:27" s="378" customFormat="1">
      <c r="A47" s="43">
        <v>47</v>
      </c>
      <c r="B47" s="43"/>
      <c r="C47" s="8"/>
      <c r="D47" s="8"/>
      <c r="E47" s="8"/>
      <c r="F47" s="379" t="s">
        <v>537</v>
      </c>
      <c r="G47" s="30"/>
      <c r="H47" s="30" t="s">
        <v>100</v>
      </c>
      <c r="I47" s="382">
        <f t="shared" si="0"/>
        <v>0</v>
      </c>
      <c r="J47" s="33"/>
      <c r="K47" s="33"/>
      <c r="L47" s="33"/>
      <c r="M47" s="33"/>
      <c r="N47" s="185"/>
      <c r="O47" s="185"/>
      <c r="P47" s="185"/>
      <c r="Q47" s="185"/>
      <c r="R47" s="185"/>
      <c r="S47" s="185"/>
      <c r="T47" s="185"/>
      <c r="U47" s="185"/>
      <c r="V47" s="185"/>
      <c r="W47" s="185"/>
      <c r="X47" s="183"/>
    </row>
    <row r="48" spans="1:27" s="378" customFormat="1">
      <c r="A48" s="43">
        <v>48</v>
      </c>
      <c r="B48" s="43"/>
      <c r="C48" s="8"/>
      <c r="D48" s="8"/>
      <c r="E48" s="8"/>
      <c r="F48" s="379" t="s">
        <v>538</v>
      </c>
      <c r="G48" s="30"/>
      <c r="H48" s="30" t="s">
        <v>100</v>
      </c>
      <c r="I48" s="382">
        <f t="shared" si="0"/>
        <v>0</v>
      </c>
      <c r="J48" s="33"/>
      <c r="K48" s="33"/>
      <c r="L48" s="33"/>
      <c r="M48" s="33"/>
      <c r="N48" s="185"/>
      <c r="O48" s="185"/>
      <c r="P48" s="185"/>
      <c r="Q48" s="185"/>
      <c r="R48" s="185"/>
      <c r="S48" s="185"/>
      <c r="T48" s="185"/>
      <c r="U48" s="185"/>
      <c r="V48" s="185"/>
      <c r="W48" s="185"/>
      <c r="X48" s="183"/>
    </row>
    <row r="49" spans="1:24" s="378" customFormat="1">
      <c r="A49" s="43">
        <v>49</v>
      </c>
      <c r="B49" s="43"/>
      <c r="C49" s="8"/>
      <c r="D49" s="8"/>
      <c r="E49" s="8"/>
      <c r="F49" s="379" t="s">
        <v>539</v>
      </c>
      <c r="G49" s="30"/>
      <c r="H49" s="30" t="s">
        <v>100</v>
      </c>
      <c r="I49" s="382">
        <f t="shared" si="0"/>
        <v>0</v>
      </c>
      <c r="J49" s="33"/>
      <c r="K49" s="33"/>
      <c r="L49" s="33"/>
      <c r="M49" s="33"/>
      <c r="N49" s="185"/>
      <c r="O49" s="185"/>
      <c r="P49" s="185"/>
      <c r="Q49" s="185"/>
      <c r="R49" s="185"/>
      <c r="S49" s="185"/>
      <c r="T49" s="185"/>
      <c r="U49" s="185"/>
      <c r="V49" s="185"/>
      <c r="W49" s="185"/>
      <c r="X49" s="183"/>
    </row>
    <row r="50" spans="1:24" s="378" customFormat="1">
      <c r="A50" s="43">
        <v>50</v>
      </c>
      <c r="B50" s="43"/>
      <c r="C50" s="8"/>
      <c r="D50" s="8"/>
      <c r="E50" s="8"/>
      <c r="F50" s="379" t="s">
        <v>540</v>
      </c>
      <c r="G50" s="30"/>
      <c r="H50" s="30" t="s">
        <v>100</v>
      </c>
      <c r="I50" s="382">
        <f t="shared" si="0"/>
        <v>0</v>
      </c>
      <c r="J50" s="33"/>
      <c r="K50" s="33"/>
      <c r="L50" s="33"/>
      <c r="M50" s="33"/>
      <c r="N50" s="185"/>
      <c r="O50" s="185"/>
      <c r="P50" s="185"/>
      <c r="Q50" s="185"/>
      <c r="R50" s="185"/>
      <c r="S50" s="185"/>
      <c r="T50" s="185"/>
      <c r="U50" s="185"/>
      <c r="V50" s="185"/>
      <c r="W50" s="185"/>
      <c r="X50" s="183"/>
    </row>
    <row r="51" spans="1:24" s="378" customFormat="1">
      <c r="A51" s="43">
        <v>51</v>
      </c>
      <c r="B51" s="43"/>
      <c r="C51" s="8"/>
      <c r="D51" s="8"/>
      <c r="E51" s="8"/>
      <c r="F51" s="379" t="s">
        <v>541</v>
      </c>
      <c r="G51" s="30"/>
      <c r="H51" s="30" t="s">
        <v>100</v>
      </c>
      <c r="I51" s="382">
        <f t="shared" si="0"/>
        <v>0</v>
      </c>
      <c r="J51" s="33"/>
      <c r="K51" s="33"/>
      <c r="L51" s="33"/>
      <c r="M51" s="33"/>
      <c r="N51" s="185"/>
      <c r="O51" s="185"/>
      <c r="P51" s="185"/>
      <c r="Q51" s="185"/>
      <c r="R51" s="185"/>
      <c r="S51" s="185"/>
      <c r="T51" s="185"/>
      <c r="U51" s="185"/>
      <c r="V51" s="185"/>
      <c r="W51" s="185"/>
      <c r="X51" s="183"/>
    </row>
    <row r="52" spans="1:24" s="378" customFormat="1">
      <c r="A52" s="43">
        <v>52</v>
      </c>
      <c r="B52" s="43"/>
      <c r="C52" s="8"/>
      <c r="D52" s="8"/>
      <c r="E52" s="8"/>
      <c r="F52" s="379" t="s">
        <v>545</v>
      </c>
      <c r="G52" s="30"/>
      <c r="H52" s="30" t="s">
        <v>100</v>
      </c>
      <c r="I52" s="382">
        <f>N52*COUNTIF(N31:W31,"&gt;0")</f>
        <v>53701</v>
      </c>
      <c r="J52" s="33"/>
      <c r="K52" s="33"/>
      <c r="L52" s="33"/>
      <c r="M52" s="33"/>
      <c r="N52" s="185">
        <v>53701</v>
      </c>
      <c r="O52" s="185"/>
      <c r="P52" s="185"/>
      <c r="Q52" s="185"/>
      <c r="R52" s="185"/>
      <c r="S52" s="185"/>
      <c r="T52" s="185"/>
      <c r="U52" s="185"/>
      <c r="V52" s="185"/>
      <c r="W52" s="185"/>
      <c r="X52" s="183"/>
    </row>
    <row r="53" spans="1:24" s="378" customFormat="1">
      <c r="A53" s="43">
        <v>53</v>
      </c>
      <c r="B53" s="43"/>
      <c r="C53" s="8"/>
      <c r="D53" s="8"/>
      <c r="E53" s="8"/>
      <c r="F53" s="379" t="s">
        <v>568</v>
      </c>
      <c r="G53" s="30"/>
      <c r="H53" s="30" t="s">
        <v>100</v>
      </c>
      <c r="I53" s="382">
        <f t="shared" si="0"/>
        <v>0</v>
      </c>
      <c r="J53" s="33"/>
      <c r="K53" s="33"/>
      <c r="L53" s="33"/>
      <c r="M53" s="33"/>
      <c r="N53" s="185"/>
      <c r="O53" s="185"/>
      <c r="P53" s="185"/>
      <c r="Q53" s="185"/>
      <c r="R53" s="185"/>
      <c r="S53" s="185"/>
      <c r="T53" s="185"/>
      <c r="U53" s="185"/>
      <c r="V53" s="185"/>
      <c r="W53" s="185"/>
      <c r="X53" s="183"/>
    </row>
    <row r="54" spans="1:24" s="378" customFormat="1">
      <c r="A54" s="43">
        <v>54</v>
      </c>
      <c r="B54" s="43"/>
      <c r="C54" s="8"/>
      <c r="D54" s="8"/>
      <c r="E54" s="8"/>
      <c r="F54" s="379" t="s">
        <v>569</v>
      </c>
      <c r="G54" s="30"/>
      <c r="H54" s="30" t="s">
        <v>100</v>
      </c>
      <c r="I54" s="382">
        <f t="shared" si="0"/>
        <v>0</v>
      </c>
      <c r="J54" s="33"/>
      <c r="K54" s="33"/>
      <c r="L54" s="33"/>
      <c r="M54" s="33"/>
      <c r="N54" s="185">
        <v>0</v>
      </c>
      <c r="O54" s="185"/>
      <c r="P54" s="185"/>
      <c r="Q54" s="185"/>
      <c r="R54" s="185"/>
      <c r="S54" s="185"/>
      <c r="T54" s="185"/>
      <c r="U54" s="185"/>
      <c r="V54" s="185"/>
      <c r="W54" s="185"/>
      <c r="X54" s="183"/>
    </row>
    <row r="55" spans="1:24" s="378" customFormat="1">
      <c r="A55" s="43">
        <v>55</v>
      </c>
      <c r="B55" s="43"/>
      <c r="C55" s="8"/>
      <c r="D55" s="8"/>
      <c r="E55" s="8"/>
      <c r="F55" s="379"/>
      <c r="G55" s="30"/>
      <c r="H55" s="30" t="s">
        <v>100</v>
      </c>
      <c r="I55" s="382"/>
      <c r="J55" s="33"/>
      <c r="K55" s="33"/>
      <c r="L55" s="33"/>
      <c r="M55" s="33"/>
      <c r="N55" s="185"/>
      <c r="O55" s="185"/>
      <c r="P55" s="185"/>
      <c r="Q55" s="185"/>
      <c r="R55" s="185"/>
      <c r="S55" s="185"/>
      <c r="T55" s="185"/>
      <c r="U55" s="185"/>
      <c r="V55" s="185"/>
      <c r="W55" s="185"/>
      <c r="X55" s="183"/>
    </row>
    <row r="56" spans="1:24" s="378" customFormat="1">
      <c r="A56" s="43">
        <v>56</v>
      </c>
      <c r="B56" s="43"/>
      <c r="C56" s="8"/>
      <c r="D56" s="8"/>
      <c r="E56" s="8"/>
      <c r="F56" s="379"/>
      <c r="G56" s="30"/>
      <c r="H56" s="30" t="s">
        <v>100</v>
      </c>
      <c r="I56" s="382">
        <f t="shared" si="0"/>
        <v>0</v>
      </c>
      <c r="J56" s="33"/>
      <c r="K56" s="33"/>
      <c r="L56" s="33"/>
      <c r="M56" s="33"/>
      <c r="N56" s="185"/>
      <c r="O56" s="185"/>
      <c r="P56" s="185"/>
      <c r="Q56" s="185"/>
      <c r="R56" s="185"/>
      <c r="S56" s="185"/>
      <c r="T56" s="185"/>
      <c r="U56" s="185"/>
      <c r="V56" s="185"/>
      <c r="W56" s="185"/>
      <c r="X56" s="183"/>
    </row>
    <row r="57" spans="1:24" s="378" customFormat="1">
      <c r="A57" s="43">
        <v>57</v>
      </c>
      <c r="B57" s="43"/>
      <c r="C57" s="8"/>
      <c r="D57" s="8"/>
      <c r="E57" s="8"/>
      <c r="F57" s="379"/>
      <c r="G57" s="30"/>
      <c r="H57" s="30" t="s">
        <v>100</v>
      </c>
      <c r="I57" s="382"/>
      <c r="J57" s="33"/>
      <c r="K57" s="33"/>
      <c r="L57" s="33"/>
      <c r="M57" s="33"/>
      <c r="N57" s="185"/>
      <c r="O57" s="185"/>
      <c r="P57" s="185"/>
      <c r="Q57" s="185"/>
      <c r="R57" s="185"/>
      <c r="S57" s="185"/>
      <c r="T57" s="185"/>
      <c r="U57" s="185"/>
      <c r="V57" s="185"/>
      <c r="W57" s="185"/>
      <c r="X57" s="183"/>
    </row>
    <row r="58" spans="1:24" s="174" customFormat="1">
      <c r="A58" s="43">
        <v>58</v>
      </c>
      <c r="B58" s="43"/>
      <c r="C58" s="8" t="s">
        <v>23</v>
      </c>
      <c r="D58" s="8" t="s">
        <v>225</v>
      </c>
      <c r="E58" s="8"/>
      <c r="F58" s="14" t="s">
        <v>119</v>
      </c>
      <c r="G58" s="30" t="s">
        <v>100</v>
      </c>
      <c r="H58" s="30" t="s">
        <v>100</v>
      </c>
      <c r="I58" s="382">
        <f t="shared" si="0"/>
        <v>4940.29</v>
      </c>
      <c r="J58" s="33"/>
      <c r="K58" s="33"/>
      <c r="L58" s="33"/>
      <c r="M58" s="33"/>
      <c r="N58" s="185">
        <v>4940.29</v>
      </c>
      <c r="O58" s="185"/>
      <c r="P58" s="185"/>
      <c r="Q58" s="185"/>
      <c r="R58" s="185"/>
      <c r="S58" s="185"/>
      <c r="T58" s="185"/>
      <c r="U58" s="185"/>
      <c r="V58" s="185"/>
      <c r="W58" s="185"/>
      <c r="X58" s="183"/>
    </row>
    <row r="59" spans="1:24" s="174" customFormat="1">
      <c r="A59" s="43">
        <v>59</v>
      </c>
      <c r="B59" s="43"/>
      <c r="C59" s="8"/>
      <c r="D59" s="8"/>
      <c r="E59" s="8"/>
      <c r="F59" s="14" t="s">
        <v>218</v>
      </c>
      <c r="G59" s="30" t="s">
        <v>100</v>
      </c>
      <c r="H59" s="30" t="s">
        <v>100</v>
      </c>
      <c r="I59" s="382">
        <f t="shared" si="0"/>
        <v>4940.2866999999997</v>
      </c>
      <c r="J59" s="33"/>
      <c r="K59" s="33"/>
      <c r="L59" s="33"/>
      <c r="M59" s="33"/>
      <c r="N59" s="185">
        <v>4940.2866999999997</v>
      </c>
      <c r="O59" s="185"/>
      <c r="P59" s="185"/>
      <c r="Q59" s="185"/>
      <c r="R59" s="185"/>
      <c r="S59" s="185"/>
      <c r="T59" s="185"/>
      <c r="U59" s="185"/>
      <c r="V59" s="185"/>
      <c r="W59" s="185"/>
      <c r="X59" s="183"/>
    </row>
    <row r="60" spans="1:24" s="174" customFormat="1">
      <c r="A60" s="43">
        <v>60</v>
      </c>
      <c r="B60" s="43"/>
      <c r="C60" s="8"/>
      <c r="D60" s="8"/>
      <c r="E60" s="8"/>
      <c r="F60" s="14" t="s">
        <v>214</v>
      </c>
      <c r="G60" s="30" t="s">
        <v>100</v>
      </c>
      <c r="H60" s="30" t="s">
        <v>100</v>
      </c>
      <c r="I60" s="382">
        <f t="shared" si="0"/>
        <v>0</v>
      </c>
      <c r="J60" s="33"/>
      <c r="K60" s="33"/>
      <c r="L60" s="33"/>
      <c r="M60" s="33"/>
      <c r="N60" s="185">
        <v>0</v>
      </c>
      <c r="O60" s="185"/>
      <c r="P60" s="185"/>
      <c r="Q60" s="185"/>
      <c r="R60" s="185"/>
      <c r="S60" s="185"/>
      <c r="T60" s="185"/>
      <c r="U60" s="185"/>
      <c r="V60" s="185"/>
      <c r="W60" s="185"/>
      <c r="X60" s="183"/>
    </row>
    <row r="61" spans="1:24" s="174" customFormat="1">
      <c r="A61" s="43">
        <v>61</v>
      </c>
      <c r="B61" s="43"/>
      <c r="C61" s="8"/>
      <c r="D61" s="8"/>
      <c r="E61" s="8"/>
      <c r="F61" s="379" t="s">
        <v>226</v>
      </c>
      <c r="G61" s="30" t="s">
        <v>100</v>
      </c>
      <c r="H61" s="30" t="s">
        <v>100</v>
      </c>
      <c r="I61" s="382">
        <f t="shared" si="0"/>
        <v>0</v>
      </c>
      <c r="J61" s="33"/>
      <c r="K61" s="33"/>
      <c r="L61" s="33"/>
      <c r="M61" s="33"/>
      <c r="N61" s="185"/>
      <c r="O61" s="185"/>
      <c r="P61" s="185"/>
      <c r="Q61" s="185"/>
      <c r="R61" s="185"/>
      <c r="S61" s="185"/>
      <c r="T61" s="185"/>
      <c r="U61" s="185"/>
      <c r="V61" s="185"/>
      <c r="W61" s="185"/>
      <c r="X61" s="183"/>
    </row>
    <row r="62" spans="1:24" s="174" customFormat="1">
      <c r="A62" s="43">
        <v>62</v>
      </c>
      <c r="B62" s="43"/>
      <c r="C62" s="8" t="s">
        <v>502</v>
      </c>
      <c r="D62" s="8"/>
      <c r="E62" s="8"/>
      <c r="F62" s="14" t="s">
        <v>119</v>
      </c>
      <c r="G62" s="30" t="s">
        <v>100</v>
      </c>
      <c r="H62" s="30" t="s">
        <v>100</v>
      </c>
      <c r="I62" s="382">
        <f>SUM(N62:W62)</f>
        <v>0</v>
      </c>
      <c r="J62" s="33"/>
      <c r="K62" s="33"/>
      <c r="L62" s="33"/>
      <c r="M62" s="33"/>
      <c r="N62" s="185"/>
      <c r="O62" s="185"/>
      <c r="P62" s="185"/>
      <c r="Q62" s="185"/>
      <c r="R62" s="185"/>
      <c r="S62" s="185"/>
      <c r="T62" s="185"/>
      <c r="U62" s="185"/>
      <c r="V62" s="185"/>
      <c r="W62" s="185"/>
      <c r="X62" s="186"/>
    </row>
    <row r="63" spans="1:24" s="174" customFormat="1">
      <c r="A63" s="43">
        <v>63</v>
      </c>
      <c r="B63" s="43"/>
      <c r="C63" s="8"/>
      <c r="D63" s="8"/>
      <c r="E63" s="8"/>
      <c r="F63" s="14"/>
      <c r="G63" s="30" t="s">
        <v>100</v>
      </c>
      <c r="H63" s="30" t="s">
        <v>100</v>
      </c>
      <c r="I63" s="329"/>
      <c r="J63" s="33"/>
      <c r="K63" s="33"/>
      <c r="L63" s="33"/>
      <c r="M63" s="33"/>
      <c r="N63" s="185"/>
      <c r="O63" s="185"/>
      <c r="P63" s="185"/>
      <c r="Q63" s="185"/>
      <c r="R63" s="185"/>
      <c r="S63" s="185"/>
      <c r="T63" s="185"/>
      <c r="U63" s="185"/>
      <c r="V63" s="185"/>
      <c r="W63" s="185"/>
      <c r="X63" s="183"/>
    </row>
    <row r="64" spans="1:24" s="378" customFormat="1">
      <c r="A64" s="43">
        <v>64</v>
      </c>
      <c r="B64" s="43"/>
      <c r="C64" s="8" t="s">
        <v>519</v>
      </c>
      <c r="D64" s="8"/>
      <c r="E64" s="8"/>
      <c r="F64" s="379" t="s">
        <v>119</v>
      </c>
      <c r="G64" s="30"/>
      <c r="H64" s="30" t="s">
        <v>100</v>
      </c>
      <c r="I64" s="382">
        <f>SUM(N64:W64)</f>
        <v>0</v>
      </c>
      <c r="J64" s="33"/>
      <c r="K64" s="33"/>
      <c r="L64" s="33"/>
      <c r="M64" s="33"/>
      <c r="N64" s="185">
        <v>0</v>
      </c>
      <c r="O64" s="185"/>
      <c r="P64" s="185"/>
      <c r="Q64" s="185"/>
      <c r="R64" s="185"/>
      <c r="S64" s="185"/>
      <c r="T64" s="185"/>
      <c r="U64" s="185"/>
      <c r="V64" s="185"/>
      <c r="W64" s="185"/>
      <c r="X64" s="183"/>
    </row>
    <row r="65" spans="1:24" s="378" customFormat="1">
      <c r="A65" s="43">
        <v>65</v>
      </c>
      <c r="B65" s="43"/>
      <c r="C65" s="8"/>
      <c r="D65" s="8"/>
      <c r="E65" s="8"/>
      <c r="F65" s="379" t="s">
        <v>521</v>
      </c>
      <c r="G65" s="30"/>
      <c r="H65" s="30" t="s">
        <v>100</v>
      </c>
      <c r="I65" s="382">
        <f>SUM(N65:W65)</f>
        <v>26118.0939</v>
      </c>
      <c r="J65" s="33"/>
      <c r="K65" s="33"/>
      <c r="L65" s="33"/>
      <c r="M65" s="33"/>
      <c r="N65" s="185">
        <v>26118.0939</v>
      </c>
      <c r="O65" s="185"/>
      <c r="P65" s="185"/>
      <c r="Q65" s="185"/>
      <c r="R65" s="185"/>
      <c r="S65" s="185"/>
      <c r="T65" s="185"/>
      <c r="U65" s="185"/>
      <c r="V65" s="185"/>
      <c r="W65" s="185"/>
      <c r="X65" s="183"/>
    </row>
    <row r="66" spans="1:24" s="378" customFormat="1">
      <c r="A66" s="43">
        <v>66</v>
      </c>
      <c r="B66" s="43"/>
      <c r="C66" s="8"/>
      <c r="D66" s="8"/>
      <c r="E66" s="8"/>
      <c r="F66" s="379" t="s">
        <v>536</v>
      </c>
      <c r="G66" s="30"/>
      <c r="H66" s="30" t="s">
        <v>100</v>
      </c>
      <c r="I66" s="382">
        <f t="shared" ref="I66:I67" si="1">SUM(N66:W66)</f>
        <v>0</v>
      </c>
      <c r="J66" s="33"/>
      <c r="K66" s="33"/>
      <c r="L66" s="33"/>
      <c r="M66" s="33"/>
      <c r="N66" s="185"/>
      <c r="O66" s="185"/>
      <c r="P66" s="185"/>
      <c r="Q66" s="185"/>
      <c r="R66" s="185"/>
      <c r="S66" s="185"/>
      <c r="T66" s="185"/>
      <c r="U66" s="185"/>
      <c r="V66" s="185"/>
      <c r="W66" s="185"/>
      <c r="X66" s="183"/>
    </row>
    <row r="67" spans="1:24" s="378" customFormat="1">
      <c r="A67" s="43">
        <v>67</v>
      </c>
      <c r="B67" s="43"/>
      <c r="C67" s="8"/>
      <c r="D67" s="8"/>
      <c r="E67" s="8"/>
      <c r="F67" s="379" t="s">
        <v>537</v>
      </c>
      <c r="G67" s="30"/>
      <c r="H67" s="30" t="s">
        <v>100</v>
      </c>
      <c r="I67" s="382">
        <f t="shared" si="1"/>
        <v>0</v>
      </c>
      <c r="J67" s="33"/>
      <c r="K67" s="33"/>
      <c r="L67" s="33"/>
      <c r="M67" s="33"/>
      <c r="N67" s="185"/>
      <c r="O67" s="185"/>
      <c r="P67" s="185"/>
      <c r="Q67" s="185"/>
      <c r="R67" s="185"/>
      <c r="S67" s="185"/>
      <c r="T67" s="185"/>
      <c r="U67" s="185"/>
      <c r="V67" s="185"/>
      <c r="W67" s="185"/>
      <c r="X67" s="183"/>
    </row>
    <row r="68" spans="1:24" s="378" customFormat="1">
      <c r="A68" s="43">
        <v>68</v>
      </c>
      <c r="B68" s="43"/>
      <c r="C68" s="8"/>
      <c r="D68" s="8"/>
      <c r="E68" s="8"/>
      <c r="F68" s="379" t="s">
        <v>544</v>
      </c>
      <c r="G68" s="30"/>
      <c r="H68" s="30" t="s">
        <v>100</v>
      </c>
      <c r="I68" s="382">
        <f t="shared" ref="I68:I72" si="2">SUM(N68:W68)</f>
        <v>103317</v>
      </c>
      <c r="J68" s="33"/>
      <c r="K68" s="33"/>
      <c r="L68" s="33"/>
      <c r="M68" s="33"/>
      <c r="N68" s="185">
        <v>103317</v>
      </c>
      <c r="O68" s="185"/>
      <c r="P68" s="185"/>
      <c r="Q68" s="185"/>
      <c r="R68" s="185"/>
      <c r="S68" s="185"/>
      <c r="T68" s="185"/>
      <c r="U68" s="185"/>
      <c r="V68" s="185"/>
      <c r="W68" s="185"/>
      <c r="X68" s="183"/>
    </row>
    <row r="69" spans="1:24" s="378" customFormat="1">
      <c r="A69" s="43">
        <v>69</v>
      </c>
      <c r="B69" s="43"/>
      <c r="C69" s="8"/>
      <c r="D69" s="8"/>
      <c r="E69" s="8"/>
      <c r="F69" s="379" t="s">
        <v>545</v>
      </c>
      <c r="G69" s="30"/>
      <c r="H69" s="30" t="s">
        <v>100</v>
      </c>
      <c r="I69" s="382">
        <f t="shared" si="2"/>
        <v>53701</v>
      </c>
      <c r="J69" s="33"/>
      <c r="K69" s="33"/>
      <c r="L69" s="33"/>
      <c r="M69" s="33"/>
      <c r="N69" s="185">
        <v>53701</v>
      </c>
      <c r="O69" s="185"/>
      <c r="P69" s="185"/>
      <c r="Q69" s="185"/>
      <c r="R69" s="185"/>
      <c r="S69" s="185"/>
      <c r="T69" s="185"/>
      <c r="U69" s="185"/>
      <c r="V69" s="185"/>
      <c r="W69" s="185"/>
      <c r="X69" s="183"/>
    </row>
    <row r="70" spans="1:24" s="378" customFormat="1">
      <c r="A70" s="43">
        <v>70</v>
      </c>
      <c r="B70" s="43"/>
      <c r="C70" s="8"/>
      <c r="D70" s="8"/>
      <c r="E70" s="8"/>
      <c r="F70" s="379" t="s">
        <v>547</v>
      </c>
      <c r="G70" s="30"/>
      <c r="H70" s="30" t="s">
        <v>100</v>
      </c>
      <c r="I70" s="382">
        <f t="shared" si="2"/>
        <v>0</v>
      </c>
      <c r="J70" s="33"/>
      <c r="K70" s="33"/>
      <c r="L70" s="33"/>
      <c r="M70" s="33"/>
      <c r="N70" s="185">
        <v>0</v>
      </c>
      <c r="O70" s="185"/>
      <c r="P70" s="185"/>
      <c r="Q70" s="185"/>
      <c r="R70" s="185"/>
      <c r="S70" s="185"/>
      <c r="T70" s="185"/>
      <c r="U70" s="185"/>
      <c r="V70" s="185"/>
      <c r="W70" s="185"/>
      <c r="X70" s="183"/>
    </row>
    <row r="71" spans="1:24" s="378" customFormat="1">
      <c r="A71" s="43">
        <v>71</v>
      </c>
      <c r="B71" s="43"/>
      <c r="C71" s="8"/>
      <c r="D71" s="8"/>
      <c r="E71" s="8"/>
      <c r="F71" s="379" t="s">
        <v>570</v>
      </c>
      <c r="G71" s="30"/>
      <c r="H71" s="30" t="s">
        <v>100</v>
      </c>
      <c r="I71" s="382">
        <f t="shared" si="2"/>
        <v>0</v>
      </c>
      <c r="J71" s="33"/>
      <c r="K71" s="33"/>
      <c r="L71" s="33"/>
      <c r="M71" s="33"/>
      <c r="N71" s="185"/>
      <c r="O71" s="185"/>
      <c r="P71" s="185"/>
      <c r="Q71" s="185"/>
      <c r="R71" s="185"/>
      <c r="S71" s="185"/>
      <c r="T71" s="185"/>
      <c r="U71" s="185"/>
      <c r="V71" s="185"/>
      <c r="W71" s="185"/>
      <c r="X71" s="183"/>
    </row>
    <row r="72" spans="1:24" s="378" customFormat="1">
      <c r="A72" s="43">
        <v>72</v>
      </c>
      <c r="B72" s="43"/>
      <c r="C72" s="8"/>
      <c r="D72" s="8"/>
      <c r="E72" s="8"/>
      <c r="F72" s="379" t="s">
        <v>571</v>
      </c>
      <c r="G72" s="30"/>
      <c r="H72" s="30" t="s">
        <v>100</v>
      </c>
      <c r="I72" s="382">
        <f t="shared" si="2"/>
        <v>0</v>
      </c>
      <c r="J72" s="33"/>
      <c r="K72" s="33"/>
      <c r="L72" s="33"/>
      <c r="M72" s="33"/>
      <c r="N72" s="185">
        <v>0</v>
      </c>
      <c r="O72" s="185"/>
      <c r="P72" s="185"/>
      <c r="Q72" s="185"/>
      <c r="R72" s="185"/>
      <c r="S72" s="185"/>
      <c r="T72" s="185"/>
      <c r="U72" s="185"/>
      <c r="V72" s="185"/>
      <c r="W72" s="185"/>
      <c r="X72" s="183"/>
    </row>
    <row r="73" spans="1:24" s="378" customFormat="1">
      <c r="A73" s="43">
        <v>73</v>
      </c>
      <c r="B73" s="43"/>
      <c r="C73" s="8"/>
      <c r="D73" s="8"/>
      <c r="E73" s="8"/>
      <c r="F73" s="379" t="s">
        <v>576</v>
      </c>
      <c r="G73" s="30"/>
      <c r="H73" s="30" t="s">
        <v>100</v>
      </c>
      <c r="I73" s="382">
        <f>SUM(N73:W73)</f>
        <v>0</v>
      </c>
      <c r="J73" s="33"/>
      <c r="K73" s="33"/>
      <c r="L73" s="33"/>
      <c r="M73" s="33"/>
      <c r="N73" s="185">
        <v>0</v>
      </c>
      <c r="O73" s="185"/>
      <c r="P73" s="185"/>
      <c r="Q73" s="185"/>
      <c r="R73" s="185"/>
      <c r="S73" s="185"/>
      <c r="T73" s="185"/>
      <c r="U73" s="185"/>
      <c r="V73" s="185"/>
      <c r="W73" s="185"/>
      <c r="X73" s="183"/>
    </row>
    <row r="74" spans="1:24" s="378" customFormat="1">
      <c r="A74" s="43">
        <v>74</v>
      </c>
      <c r="B74" s="43"/>
      <c r="C74" s="8"/>
      <c r="D74" s="8"/>
      <c r="E74" s="8"/>
      <c r="F74" s="379"/>
      <c r="G74" s="30"/>
      <c r="H74" s="30" t="s">
        <v>100</v>
      </c>
      <c r="I74" s="329"/>
      <c r="J74" s="33"/>
      <c r="K74" s="33"/>
      <c r="L74" s="33"/>
      <c r="M74" s="33"/>
      <c r="N74" s="185"/>
      <c r="O74" s="185"/>
      <c r="P74" s="185"/>
      <c r="Q74" s="185"/>
      <c r="R74" s="185"/>
      <c r="S74" s="185"/>
      <c r="T74" s="185"/>
      <c r="U74" s="185"/>
      <c r="V74" s="185"/>
      <c r="W74" s="185"/>
      <c r="X74" s="183"/>
    </row>
    <row r="75" spans="1:24" s="378" customFormat="1">
      <c r="A75" s="43">
        <v>75</v>
      </c>
      <c r="B75" s="43"/>
      <c r="C75" s="8"/>
      <c r="D75" s="8"/>
      <c r="E75" s="8"/>
      <c r="F75" s="379"/>
      <c r="G75" s="30"/>
      <c r="H75" s="30" t="s">
        <v>100</v>
      </c>
      <c r="I75" s="329"/>
      <c r="J75" s="33"/>
      <c r="K75" s="33"/>
      <c r="L75" s="33"/>
      <c r="M75" s="33"/>
      <c r="N75" s="185"/>
      <c r="O75" s="185"/>
      <c r="P75" s="185"/>
      <c r="Q75" s="185"/>
      <c r="R75" s="185"/>
      <c r="S75" s="185"/>
      <c r="T75" s="185"/>
      <c r="U75" s="185"/>
      <c r="V75" s="185"/>
      <c r="W75" s="185"/>
      <c r="X75" s="183"/>
    </row>
    <row r="76" spans="1:24" s="378" customFormat="1">
      <c r="A76" s="43">
        <v>76</v>
      </c>
      <c r="B76" s="43"/>
      <c r="C76" s="8" t="s">
        <v>519</v>
      </c>
      <c r="D76" s="8" t="s">
        <v>225</v>
      </c>
      <c r="E76" s="8"/>
      <c r="F76" s="379" t="s">
        <v>119</v>
      </c>
      <c r="G76" s="30"/>
      <c r="H76" s="30" t="s">
        <v>100</v>
      </c>
      <c r="I76" s="382">
        <f t="shared" ref="I76" si="3">SUM(N76:W76)</f>
        <v>0</v>
      </c>
      <c r="J76" s="33"/>
      <c r="K76" s="33"/>
      <c r="L76" s="33"/>
      <c r="M76" s="33"/>
      <c r="N76" s="185">
        <v>0</v>
      </c>
      <c r="O76" s="185"/>
      <c r="P76" s="185"/>
      <c r="Q76" s="185"/>
      <c r="R76" s="185"/>
      <c r="S76" s="185"/>
      <c r="T76" s="185"/>
      <c r="U76" s="185"/>
      <c r="V76" s="185"/>
      <c r="W76" s="185"/>
      <c r="X76" s="183"/>
    </row>
    <row r="77" spans="1:24" s="378" customFormat="1">
      <c r="A77" s="43">
        <v>77</v>
      </c>
      <c r="B77" s="43"/>
      <c r="C77" s="8"/>
      <c r="D77" s="8"/>
      <c r="E77" s="8"/>
      <c r="F77" s="379"/>
      <c r="G77" s="30"/>
      <c r="H77" s="30" t="s">
        <v>100</v>
      </c>
      <c r="I77" s="329"/>
      <c r="J77" s="33"/>
      <c r="K77" s="33"/>
      <c r="L77" s="33"/>
      <c r="M77" s="33"/>
      <c r="N77" s="185"/>
      <c r="O77" s="185"/>
      <c r="P77" s="185"/>
      <c r="Q77" s="185"/>
      <c r="R77" s="185"/>
      <c r="S77" s="185"/>
      <c r="T77" s="185"/>
      <c r="U77" s="185"/>
      <c r="V77" s="185"/>
      <c r="W77" s="185"/>
      <c r="X77" s="183"/>
    </row>
    <row r="78" spans="1:24" s="378" customFormat="1">
      <c r="A78" s="43">
        <v>78</v>
      </c>
      <c r="B78" s="43"/>
      <c r="C78" s="8"/>
      <c r="D78" s="8"/>
      <c r="E78" s="8"/>
      <c r="F78" s="379"/>
      <c r="G78" s="30"/>
      <c r="H78" s="30" t="s">
        <v>100</v>
      </c>
      <c r="I78" s="329"/>
      <c r="J78" s="33"/>
      <c r="K78" s="33"/>
      <c r="L78" s="33"/>
      <c r="M78" s="33"/>
      <c r="N78" s="185"/>
      <c r="O78" s="185"/>
      <c r="P78" s="185"/>
      <c r="Q78" s="185"/>
      <c r="R78" s="185"/>
      <c r="S78" s="185"/>
      <c r="T78" s="185"/>
      <c r="U78" s="185"/>
      <c r="V78" s="185"/>
      <c r="W78" s="185"/>
      <c r="X78" s="183"/>
    </row>
    <row r="79" spans="1:24" s="378" customFormat="1">
      <c r="A79" s="43">
        <v>79</v>
      </c>
      <c r="B79" s="43"/>
      <c r="C79" s="8"/>
      <c r="D79" s="8"/>
      <c r="E79" s="8"/>
      <c r="F79" s="379"/>
      <c r="G79" s="30"/>
      <c r="H79" s="30" t="s">
        <v>100</v>
      </c>
      <c r="I79" s="329"/>
      <c r="J79" s="33"/>
      <c r="K79" s="33"/>
      <c r="L79" s="33"/>
      <c r="M79" s="33"/>
      <c r="N79" s="185"/>
      <c r="O79" s="185"/>
      <c r="P79" s="185"/>
      <c r="Q79" s="185"/>
      <c r="R79" s="185"/>
      <c r="S79" s="185"/>
      <c r="T79" s="185"/>
      <c r="U79" s="185"/>
      <c r="V79" s="185"/>
      <c r="W79" s="185"/>
      <c r="X79" s="183"/>
    </row>
    <row r="80" spans="1:24" s="378" customFormat="1">
      <c r="A80" s="43">
        <v>80</v>
      </c>
      <c r="B80" s="43"/>
      <c r="C80" s="8"/>
      <c r="D80" s="8"/>
      <c r="E80" s="8"/>
      <c r="F80" s="379"/>
      <c r="G80" s="30"/>
      <c r="H80" s="30" t="s">
        <v>100</v>
      </c>
      <c r="I80" s="329"/>
      <c r="J80" s="33"/>
      <c r="K80" s="33"/>
      <c r="L80" s="33"/>
      <c r="M80" s="33"/>
      <c r="N80" s="185"/>
      <c r="O80" s="185"/>
      <c r="P80" s="185"/>
      <c r="Q80" s="185"/>
      <c r="R80" s="185"/>
      <c r="S80" s="185"/>
      <c r="T80" s="185"/>
      <c r="U80" s="185"/>
      <c r="V80" s="185"/>
      <c r="W80" s="185"/>
      <c r="X80" s="183"/>
    </row>
    <row r="81" spans="1:24" s="174" customFormat="1">
      <c r="A81" s="43">
        <v>81</v>
      </c>
      <c r="B81" s="43"/>
      <c r="C81" s="8"/>
      <c r="D81" s="8"/>
      <c r="E81" s="8"/>
      <c r="F81" s="14"/>
      <c r="G81" s="30" t="s">
        <v>100</v>
      </c>
      <c r="H81" s="30" t="s">
        <v>100</v>
      </c>
      <c r="I81" s="329"/>
      <c r="J81" s="33"/>
      <c r="K81" s="33"/>
      <c r="L81" s="33"/>
      <c r="M81" s="33"/>
      <c r="N81" s="185"/>
      <c r="O81" s="185"/>
      <c r="P81" s="185"/>
      <c r="Q81" s="185"/>
      <c r="R81" s="185"/>
      <c r="S81" s="185"/>
      <c r="T81" s="185"/>
      <c r="U81" s="185"/>
      <c r="V81" s="185"/>
      <c r="W81" s="185"/>
      <c r="X81" s="254"/>
    </row>
    <row r="82" spans="1:24" s="174" customFormat="1">
      <c r="A82" s="43">
        <v>82</v>
      </c>
      <c r="B82" s="43" t="s">
        <v>14</v>
      </c>
      <c r="C82" s="8" t="s">
        <v>227</v>
      </c>
      <c r="D82" s="8"/>
      <c r="E82" s="8"/>
      <c r="F82" s="14" t="s">
        <v>119</v>
      </c>
      <c r="G82" s="30" t="s">
        <v>100</v>
      </c>
      <c r="H82" s="30" t="s">
        <v>100</v>
      </c>
      <c r="I82" s="330">
        <f>SUM(N82:W82)</f>
        <v>746.25</v>
      </c>
      <c r="J82" s="33"/>
      <c r="K82" s="33"/>
      <c r="L82" s="33"/>
      <c r="M82" s="33"/>
      <c r="N82" s="185">
        <v>746.25</v>
      </c>
      <c r="O82" s="185"/>
      <c r="P82" s="185"/>
      <c r="Q82" s="185"/>
      <c r="R82" s="185"/>
      <c r="S82" s="185"/>
      <c r="T82" s="185"/>
      <c r="U82" s="185"/>
      <c r="V82" s="185"/>
      <c r="W82" s="185"/>
      <c r="X82" s="183"/>
    </row>
    <row r="83" spans="1:24" s="174" customFormat="1">
      <c r="A83" s="43">
        <v>83</v>
      </c>
      <c r="B83" s="43"/>
      <c r="C83" s="8"/>
      <c r="D83" s="8"/>
      <c r="E83" s="8"/>
      <c r="F83" s="14" t="s">
        <v>100</v>
      </c>
      <c r="G83" s="30" t="s">
        <v>100</v>
      </c>
      <c r="H83" s="30" t="s">
        <v>100</v>
      </c>
      <c r="I83" s="329"/>
      <c r="J83" s="33"/>
      <c r="K83" s="33"/>
      <c r="L83" s="33"/>
      <c r="M83" s="33"/>
      <c r="N83" s="185"/>
      <c r="O83" s="185"/>
      <c r="P83" s="185"/>
      <c r="Q83" s="185"/>
      <c r="R83" s="185"/>
      <c r="S83" s="185"/>
      <c r="T83" s="185"/>
      <c r="U83" s="185"/>
      <c r="V83" s="185"/>
      <c r="W83" s="185"/>
      <c r="X83" s="183"/>
    </row>
    <row r="84" spans="1:24" s="174" customFormat="1">
      <c r="A84" s="43">
        <v>84</v>
      </c>
      <c r="B84" s="43"/>
      <c r="C84" s="8" t="s">
        <v>227</v>
      </c>
      <c r="D84" s="8" t="s">
        <v>225</v>
      </c>
      <c r="E84" s="8"/>
      <c r="F84" s="14" t="s">
        <v>119</v>
      </c>
      <c r="G84" s="30" t="s">
        <v>100</v>
      </c>
      <c r="H84" s="30" t="s">
        <v>100</v>
      </c>
      <c r="I84" s="382"/>
      <c r="J84" s="33"/>
      <c r="K84" s="33"/>
      <c r="L84" s="33"/>
      <c r="M84" s="33"/>
      <c r="N84" s="185">
        <v>3411.97</v>
      </c>
      <c r="O84" s="185"/>
      <c r="P84" s="185"/>
      <c r="Q84" s="185"/>
      <c r="R84" s="185"/>
      <c r="S84" s="185"/>
      <c r="T84" s="185"/>
      <c r="U84" s="185"/>
      <c r="V84" s="185"/>
      <c r="W84" s="185"/>
      <c r="X84" s="183"/>
    </row>
    <row r="85" spans="1:24">
      <c r="A85" s="43">
        <v>85</v>
      </c>
      <c r="B85" s="43"/>
      <c r="C85" s="8"/>
      <c r="D85" s="8"/>
      <c r="E85" s="60"/>
      <c r="F85" s="14" t="s">
        <v>100</v>
      </c>
      <c r="G85" s="30" t="s">
        <v>100</v>
      </c>
      <c r="H85" s="30" t="s">
        <v>100</v>
      </c>
      <c r="I85" s="382"/>
      <c r="J85" s="33">
        <v>4773</v>
      </c>
      <c r="K85" s="33"/>
      <c r="L85" s="33"/>
      <c r="M85" s="33"/>
      <c r="N85" s="185"/>
      <c r="O85" s="185"/>
      <c r="P85" s="185"/>
      <c r="Q85" s="185"/>
      <c r="R85" s="185"/>
      <c r="S85" s="185"/>
      <c r="T85" s="185"/>
      <c r="U85" s="185"/>
      <c r="V85" s="185"/>
      <c r="W85" s="185"/>
      <c r="X85" s="183"/>
    </row>
    <row r="86" spans="1:24">
      <c r="A86" s="43">
        <v>86</v>
      </c>
      <c r="B86" s="43"/>
      <c r="C86" s="8" t="s">
        <v>228</v>
      </c>
      <c r="D86" s="8"/>
      <c r="E86" s="8"/>
      <c r="F86" s="14" t="s">
        <v>119</v>
      </c>
      <c r="G86" s="30" t="s">
        <v>100</v>
      </c>
      <c r="H86" s="30" t="s">
        <v>100</v>
      </c>
      <c r="I86" s="382">
        <f>SUM(N86:W86)</f>
        <v>2405.1799999999998</v>
      </c>
      <c r="J86" s="33"/>
      <c r="K86" s="33"/>
      <c r="L86" s="33"/>
      <c r="M86" s="33"/>
      <c r="N86" s="185">
        <v>2405.1799999999998</v>
      </c>
      <c r="O86" s="185"/>
      <c r="P86" s="185"/>
      <c r="Q86" s="185"/>
      <c r="R86" s="185"/>
      <c r="S86" s="185"/>
      <c r="T86" s="185"/>
      <c r="U86" s="185"/>
      <c r="V86" s="185"/>
      <c r="W86" s="185"/>
      <c r="X86" s="186"/>
    </row>
    <row r="87" spans="1:24" s="174" customFormat="1">
      <c r="A87" s="43">
        <v>87</v>
      </c>
      <c r="B87" s="43"/>
      <c r="C87" s="8" t="s">
        <v>483</v>
      </c>
      <c r="D87" s="8"/>
      <c r="E87" s="8"/>
      <c r="F87" s="14" t="s">
        <v>119</v>
      </c>
      <c r="G87" s="30"/>
      <c r="H87" s="30" t="s">
        <v>100</v>
      </c>
      <c r="I87" s="330">
        <f>SUM(N87:W87)</f>
        <v>0</v>
      </c>
      <c r="J87" s="33"/>
      <c r="K87" s="33"/>
      <c r="L87" s="33"/>
      <c r="M87" s="33"/>
      <c r="N87" s="185">
        <v>0</v>
      </c>
      <c r="O87" s="185"/>
      <c r="P87" s="185"/>
      <c r="Q87" s="185"/>
      <c r="R87" s="185"/>
      <c r="S87" s="185"/>
      <c r="T87" s="185"/>
      <c r="U87" s="185"/>
      <c r="V87" s="185"/>
      <c r="W87" s="185"/>
      <c r="X87" s="186"/>
    </row>
    <row r="88" spans="1:24">
      <c r="A88" s="43">
        <v>88</v>
      </c>
      <c r="B88" s="43"/>
      <c r="C88" s="8" t="s">
        <v>481</v>
      </c>
      <c r="D88" s="8"/>
      <c r="E88" s="8"/>
      <c r="F88" s="14" t="s">
        <v>119</v>
      </c>
      <c r="G88" s="30" t="s">
        <v>100</v>
      </c>
      <c r="H88" s="30" t="s">
        <v>100</v>
      </c>
      <c r="I88" s="382">
        <f>SUM(N88:W88)</f>
        <v>0</v>
      </c>
      <c r="J88" s="33">
        <v>185</v>
      </c>
      <c r="K88" s="33"/>
      <c r="L88" s="33"/>
      <c r="M88" s="33"/>
      <c r="N88" s="185"/>
      <c r="O88" s="185"/>
      <c r="P88" s="185"/>
      <c r="Q88" s="185"/>
      <c r="R88" s="185"/>
      <c r="S88" s="185"/>
      <c r="T88" s="185"/>
      <c r="U88" s="185"/>
      <c r="V88" s="185"/>
      <c r="W88" s="185"/>
      <c r="X88" s="182"/>
    </row>
    <row r="89" spans="1:24" s="174" customFormat="1">
      <c r="A89" s="43">
        <v>89</v>
      </c>
      <c r="B89" s="43"/>
      <c r="C89" s="8" t="s">
        <v>482</v>
      </c>
      <c r="D89" s="8"/>
      <c r="E89" s="8"/>
      <c r="F89" s="14" t="s">
        <v>119</v>
      </c>
      <c r="G89" s="30"/>
      <c r="H89" s="30" t="s">
        <v>100</v>
      </c>
      <c r="I89" s="382">
        <f>SUM(N89:W89)</f>
        <v>0</v>
      </c>
      <c r="J89" s="33"/>
      <c r="K89" s="33"/>
      <c r="L89" s="33"/>
      <c r="M89" s="33"/>
      <c r="N89" s="185">
        <v>0</v>
      </c>
      <c r="O89" s="185"/>
      <c r="P89" s="185"/>
      <c r="Q89" s="185"/>
      <c r="R89" s="185"/>
      <c r="S89" s="185"/>
      <c r="T89" s="185"/>
      <c r="U89" s="185"/>
      <c r="V89" s="185"/>
      <c r="W89" s="185"/>
      <c r="X89" s="182"/>
    </row>
    <row r="90" spans="1:24">
      <c r="A90" s="43">
        <v>90</v>
      </c>
      <c r="B90" s="43"/>
      <c r="C90" s="8"/>
      <c r="D90" s="8"/>
      <c r="E90" s="60"/>
      <c r="F90" s="14" t="s">
        <v>100</v>
      </c>
      <c r="G90" s="30" t="s">
        <v>100</v>
      </c>
      <c r="H90" s="30" t="s">
        <v>100</v>
      </c>
      <c r="I90" s="382"/>
      <c r="J90" s="33"/>
      <c r="K90" s="33"/>
      <c r="L90" s="33"/>
      <c r="M90" s="33"/>
      <c r="N90" s="185"/>
      <c r="O90" s="185"/>
      <c r="P90" s="185"/>
      <c r="Q90" s="185"/>
      <c r="R90" s="185"/>
      <c r="S90" s="185"/>
      <c r="T90" s="185"/>
      <c r="U90" s="185"/>
      <c r="V90" s="185"/>
      <c r="W90" s="185"/>
      <c r="X90" s="182"/>
    </row>
    <row r="91" spans="1:24" s="174" customFormat="1">
      <c r="A91" s="43">
        <v>91</v>
      </c>
      <c r="B91" s="43"/>
      <c r="C91" s="8"/>
      <c r="D91" s="8"/>
      <c r="E91" s="60"/>
      <c r="F91" s="14" t="s">
        <v>229</v>
      </c>
      <c r="G91" s="30" t="s">
        <v>100</v>
      </c>
      <c r="H91" s="30" t="s">
        <v>100</v>
      </c>
      <c r="I91" s="382"/>
      <c r="J91" s="33"/>
      <c r="K91" s="33"/>
      <c r="L91" s="33"/>
      <c r="M91" s="33"/>
      <c r="N91" s="185"/>
      <c r="O91" s="185"/>
      <c r="P91" s="185"/>
      <c r="Q91" s="185"/>
      <c r="R91" s="185"/>
      <c r="S91" s="185"/>
      <c r="T91" s="185"/>
      <c r="U91" s="185"/>
      <c r="V91" s="185"/>
      <c r="W91" s="185"/>
      <c r="X91" s="182"/>
    </row>
    <row r="92" spans="1:24" s="174" customFormat="1">
      <c r="A92" s="43">
        <v>92</v>
      </c>
      <c r="B92" s="43"/>
      <c r="C92" s="8"/>
      <c r="D92" s="8"/>
      <c r="E92" s="60"/>
      <c r="F92" s="14" t="s">
        <v>100</v>
      </c>
      <c r="G92" s="30" t="s">
        <v>100</v>
      </c>
      <c r="H92" s="30" t="s">
        <v>100</v>
      </c>
      <c r="I92" s="382"/>
      <c r="J92" s="33"/>
      <c r="K92" s="33"/>
      <c r="L92" s="33"/>
      <c r="M92" s="33"/>
      <c r="N92" s="185"/>
      <c r="O92" s="185"/>
      <c r="P92" s="185"/>
      <c r="Q92" s="185"/>
      <c r="R92" s="185"/>
      <c r="S92" s="185"/>
      <c r="T92" s="185"/>
      <c r="U92" s="185"/>
      <c r="V92" s="185"/>
      <c r="W92" s="185"/>
      <c r="X92" s="182"/>
    </row>
    <row r="93" spans="1:24" s="174" customFormat="1">
      <c r="A93" s="43">
        <v>93</v>
      </c>
      <c r="B93" s="43"/>
      <c r="C93" s="8"/>
      <c r="D93" s="8"/>
      <c r="E93" s="60"/>
      <c r="F93" s="14" t="s">
        <v>100</v>
      </c>
      <c r="G93" s="30" t="s">
        <v>100</v>
      </c>
      <c r="H93" s="30" t="s">
        <v>100</v>
      </c>
      <c r="I93" s="382"/>
      <c r="J93" s="33"/>
      <c r="K93" s="33"/>
      <c r="L93" s="33"/>
      <c r="M93" s="33"/>
      <c r="N93" s="185"/>
      <c r="O93" s="185"/>
      <c r="P93" s="185"/>
      <c r="Q93" s="185"/>
      <c r="R93" s="185"/>
      <c r="S93" s="185"/>
      <c r="T93" s="185"/>
      <c r="U93" s="185"/>
      <c r="V93" s="185"/>
      <c r="W93" s="185"/>
      <c r="X93" s="182"/>
    </row>
    <row r="94" spans="1:24" s="174" customFormat="1">
      <c r="A94" s="43">
        <v>94</v>
      </c>
      <c r="B94" s="43"/>
      <c r="C94" s="8"/>
      <c r="D94" s="8"/>
      <c r="E94" s="60"/>
      <c r="F94" s="14"/>
      <c r="G94" s="30" t="s">
        <v>100</v>
      </c>
      <c r="H94" s="30" t="s">
        <v>100</v>
      </c>
      <c r="I94" s="329"/>
      <c r="J94" s="33"/>
      <c r="K94" s="33"/>
      <c r="L94" s="33"/>
      <c r="M94" s="33"/>
      <c r="N94" s="185"/>
      <c r="O94" s="185"/>
      <c r="P94" s="185"/>
      <c r="Q94" s="185"/>
      <c r="R94" s="185"/>
      <c r="S94" s="185"/>
      <c r="T94" s="185"/>
      <c r="U94" s="185"/>
      <c r="V94" s="185"/>
      <c r="W94" s="185"/>
      <c r="X94" s="182"/>
    </row>
    <row r="95" spans="1:24" s="174" customFormat="1">
      <c r="A95" s="43">
        <v>95</v>
      </c>
      <c r="B95" s="43" t="s">
        <v>18</v>
      </c>
      <c r="C95" s="8" t="s">
        <v>485</v>
      </c>
      <c r="D95" s="8"/>
      <c r="E95" s="60"/>
      <c r="F95" s="14" t="s">
        <v>119</v>
      </c>
      <c r="G95" s="30" t="s">
        <v>100</v>
      </c>
      <c r="H95" s="30" t="s">
        <v>100</v>
      </c>
      <c r="I95" s="330">
        <f>SUM(N95:W95)</f>
        <v>630.29</v>
      </c>
      <c r="J95" s="33"/>
      <c r="K95" s="33"/>
      <c r="L95" s="33"/>
      <c r="M95" s="33"/>
      <c r="N95" s="185">
        <v>630.29</v>
      </c>
      <c r="O95" s="185"/>
      <c r="P95" s="185"/>
      <c r="Q95" s="185"/>
      <c r="R95" s="185"/>
      <c r="S95" s="185"/>
      <c r="T95" s="185"/>
      <c r="U95" s="185"/>
      <c r="V95" s="185"/>
      <c r="W95" s="185"/>
      <c r="X95" s="182"/>
    </row>
    <row r="96" spans="1:24" s="174" customFormat="1">
      <c r="A96" s="43">
        <v>96</v>
      </c>
      <c r="B96" s="43"/>
      <c r="C96" s="8"/>
      <c r="D96" s="8"/>
      <c r="E96" s="60"/>
      <c r="F96" s="14" t="s">
        <v>498</v>
      </c>
      <c r="G96" s="30"/>
      <c r="H96" s="30" t="s">
        <v>100</v>
      </c>
      <c r="I96" s="330">
        <f>SUM(N96:W96)</f>
        <v>149.25138999999999</v>
      </c>
      <c r="J96" s="33"/>
      <c r="K96" s="33"/>
      <c r="L96" s="33"/>
      <c r="M96" s="33"/>
      <c r="N96" s="185">
        <v>149.25138999999999</v>
      </c>
      <c r="O96" s="185"/>
      <c r="P96" s="185"/>
      <c r="Q96" s="185"/>
      <c r="R96" s="185"/>
      <c r="S96" s="185"/>
      <c r="T96" s="185"/>
      <c r="U96" s="185"/>
      <c r="V96" s="185"/>
      <c r="W96" s="185"/>
      <c r="X96" s="182"/>
    </row>
    <row r="97" spans="1:24" s="174" customFormat="1">
      <c r="A97" s="43">
        <v>97</v>
      </c>
      <c r="B97" s="43"/>
      <c r="C97" s="8" t="s">
        <v>486</v>
      </c>
      <c r="D97" s="8"/>
      <c r="E97" s="60"/>
      <c r="F97" s="14" t="s">
        <v>119</v>
      </c>
      <c r="G97" s="30" t="s">
        <v>100</v>
      </c>
      <c r="H97" s="30" t="s">
        <v>100</v>
      </c>
      <c r="I97" s="330">
        <f>SUM(N97:W97)</f>
        <v>0</v>
      </c>
      <c r="J97" s="33"/>
      <c r="K97" s="33"/>
      <c r="L97" s="33"/>
      <c r="M97" s="33"/>
      <c r="N97" s="185">
        <v>0</v>
      </c>
      <c r="O97" s="185"/>
      <c r="P97" s="185"/>
      <c r="Q97" s="185"/>
      <c r="R97" s="185"/>
      <c r="S97" s="185"/>
      <c r="T97" s="185"/>
      <c r="U97" s="185"/>
      <c r="V97" s="185"/>
      <c r="W97" s="185"/>
      <c r="X97" s="182"/>
    </row>
    <row r="98" spans="1:24" s="378" customFormat="1">
      <c r="A98" s="43">
        <v>98</v>
      </c>
      <c r="B98" s="43"/>
      <c r="C98" s="8"/>
      <c r="D98" s="8"/>
      <c r="E98" s="60"/>
      <c r="F98" s="379" t="s">
        <v>550</v>
      </c>
      <c r="G98" s="30"/>
      <c r="H98" s="30" t="s">
        <v>100</v>
      </c>
      <c r="I98" s="382">
        <f>SUM(N98:W98)</f>
        <v>0</v>
      </c>
      <c r="J98" s="33"/>
      <c r="K98" s="33"/>
      <c r="L98" s="33"/>
      <c r="M98" s="33"/>
      <c r="N98" s="185">
        <v>0</v>
      </c>
      <c r="O98" s="185"/>
      <c r="P98" s="185"/>
      <c r="Q98" s="185"/>
      <c r="R98" s="185"/>
      <c r="S98" s="185"/>
      <c r="T98" s="185"/>
      <c r="U98" s="185"/>
      <c r="V98" s="185"/>
      <c r="W98" s="185"/>
      <c r="X98" s="182"/>
    </row>
    <row r="99" spans="1:24" s="174" customFormat="1">
      <c r="A99" s="43">
        <v>99</v>
      </c>
      <c r="B99" s="43"/>
      <c r="C99" s="8" t="s">
        <v>487</v>
      </c>
      <c r="D99" s="8"/>
      <c r="E99" s="60"/>
      <c r="F99" s="14" t="s">
        <v>119</v>
      </c>
      <c r="G99" s="30" t="s">
        <v>100</v>
      </c>
      <c r="H99" s="30" t="s">
        <v>100</v>
      </c>
      <c r="I99" s="330">
        <f>SUM(N99:W99)</f>
        <v>0</v>
      </c>
      <c r="J99" s="33"/>
      <c r="K99" s="33"/>
      <c r="L99" s="33"/>
      <c r="M99" s="33"/>
      <c r="N99" s="185"/>
      <c r="O99" s="185"/>
      <c r="P99" s="185"/>
      <c r="Q99" s="185"/>
      <c r="R99" s="185"/>
      <c r="S99" s="185"/>
      <c r="T99" s="185"/>
      <c r="U99" s="185"/>
      <c r="V99" s="185"/>
      <c r="W99" s="185"/>
      <c r="X99" s="182"/>
    </row>
    <row r="100" spans="1:24" s="174" customFormat="1">
      <c r="A100" s="43">
        <v>100</v>
      </c>
      <c r="B100" s="43"/>
      <c r="C100" s="8"/>
      <c r="D100" s="8"/>
      <c r="E100" s="60"/>
      <c r="F100" s="14"/>
      <c r="G100" s="30" t="s">
        <v>100</v>
      </c>
      <c r="H100" s="30" t="s">
        <v>100</v>
      </c>
      <c r="I100" s="329"/>
      <c r="J100" s="33"/>
      <c r="K100" s="33"/>
      <c r="L100" s="33"/>
      <c r="M100" s="33"/>
      <c r="N100" s="185"/>
      <c r="O100" s="59"/>
      <c r="P100" s="59"/>
      <c r="Q100" s="59"/>
      <c r="R100" s="59"/>
      <c r="S100" s="59"/>
      <c r="T100" s="59"/>
      <c r="U100" s="59"/>
      <c r="V100" s="59"/>
      <c r="W100" s="49"/>
      <c r="X100" s="186"/>
    </row>
    <row r="101" spans="1:24" s="174" customFormat="1">
      <c r="A101" s="43">
        <v>101</v>
      </c>
      <c r="B101" s="43"/>
      <c r="C101" s="8"/>
      <c r="D101" s="8"/>
      <c r="E101" s="60"/>
      <c r="F101" s="14"/>
      <c r="G101" s="30" t="s">
        <v>100</v>
      </c>
      <c r="H101" s="30" t="s">
        <v>100</v>
      </c>
      <c r="I101" s="329"/>
      <c r="J101" s="33"/>
      <c r="K101" s="33"/>
      <c r="L101" s="33"/>
      <c r="M101" s="33"/>
      <c r="N101" s="59" t="s">
        <v>100</v>
      </c>
      <c r="O101" s="59"/>
      <c r="P101" s="59"/>
      <c r="Q101" s="59"/>
      <c r="R101" s="59"/>
      <c r="S101" s="59"/>
      <c r="T101" s="59"/>
      <c r="U101" s="59"/>
      <c r="V101" s="59"/>
      <c r="W101" s="49"/>
      <c r="X101" s="182"/>
    </row>
    <row r="102" spans="1:24" s="174" customFormat="1">
      <c r="A102" s="43">
        <v>102</v>
      </c>
      <c r="B102" s="43" t="s">
        <v>527</v>
      </c>
      <c r="C102" s="8" t="s">
        <v>528</v>
      </c>
      <c r="D102" s="8"/>
      <c r="E102" s="60"/>
      <c r="F102" s="379" t="s">
        <v>119</v>
      </c>
      <c r="G102" s="30" t="s">
        <v>100</v>
      </c>
      <c r="H102" s="30" t="s">
        <v>100</v>
      </c>
      <c r="I102" s="329"/>
      <c r="J102" s="33"/>
      <c r="K102" s="33"/>
      <c r="L102" s="33"/>
      <c r="M102" s="33"/>
      <c r="N102" s="59" t="s">
        <v>100</v>
      </c>
      <c r="O102" s="59"/>
      <c r="P102" s="59"/>
      <c r="Q102" s="59"/>
      <c r="R102" s="59"/>
      <c r="S102" s="59"/>
      <c r="T102" s="59"/>
      <c r="U102" s="59"/>
      <c r="V102" s="59"/>
      <c r="W102" s="49"/>
      <c r="X102" s="182"/>
    </row>
    <row r="103" spans="1:24" s="174" customFormat="1">
      <c r="A103" s="43">
        <v>103</v>
      </c>
      <c r="B103" s="43"/>
      <c r="C103" s="8"/>
      <c r="D103" s="8"/>
      <c r="E103" s="60"/>
      <c r="F103" s="14" t="s">
        <v>532</v>
      </c>
      <c r="G103" s="30" t="s">
        <v>100</v>
      </c>
      <c r="H103" s="30" t="s">
        <v>100</v>
      </c>
      <c r="I103" s="329"/>
      <c r="J103" s="33"/>
      <c r="K103" s="33"/>
      <c r="L103" s="33"/>
      <c r="M103" s="33"/>
      <c r="N103" s="59" t="s">
        <v>100</v>
      </c>
      <c r="O103" s="59"/>
      <c r="P103" s="59"/>
      <c r="Q103" s="59"/>
      <c r="R103" s="59"/>
      <c r="S103" s="59"/>
      <c r="T103" s="59"/>
      <c r="U103" s="59"/>
      <c r="V103" s="59"/>
      <c r="W103" s="49"/>
      <c r="X103" s="182"/>
    </row>
    <row r="104" spans="1:24" s="174" customFormat="1">
      <c r="A104" s="43">
        <v>104</v>
      </c>
      <c r="B104" s="43"/>
      <c r="C104" s="8"/>
      <c r="D104" s="8"/>
      <c r="E104" s="60"/>
      <c r="F104" s="14"/>
      <c r="G104" s="30" t="s">
        <v>100</v>
      </c>
      <c r="H104" s="30" t="s">
        <v>100</v>
      </c>
      <c r="I104" s="329"/>
      <c r="J104" s="33"/>
      <c r="K104" s="33"/>
      <c r="L104" s="33"/>
      <c r="M104" s="33"/>
      <c r="N104" s="59" t="s">
        <v>100</v>
      </c>
      <c r="O104" s="59"/>
      <c r="P104" s="59"/>
      <c r="Q104" s="59"/>
      <c r="R104" s="59"/>
      <c r="S104" s="59"/>
      <c r="T104" s="59"/>
      <c r="U104" s="59"/>
      <c r="V104" s="59"/>
      <c r="W104" s="49"/>
      <c r="X104" s="182"/>
    </row>
    <row r="105" spans="1:24" s="174" customFormat="1">
      <c r="A105" s="43">
        <v>105</v>
      </c>
      <c r="B105" s="43"/>
      <c r="C105" s="8" t="s">
        <v>529</v>
      </c>
      <c r="D105" s="8"/>
      <c r="E105" s="60"/>
      <c r="F105" s="379" t="s">
        <v>119</v>
      </c>
      <c r="G105" s="30" t="s">
        <v>100</v>
      </c>
      <c r="H105" s="30" t="s">
        <v>100</v>
      </c>
      <c r="I105" s="382">
        <f>SUM(N105:W105)</f>
        <v>0</v>
      </c>
      <c r="J105" s="33"/>
      <c r="K105" s="33"/>
      <c r="L105" s="33"/>
      <c r="M105" s="33"/>
      <c r="N105" s="185"/>
      <c r="O105" s="185"/>
      <c r="P105" s="185"/>
      <c r="Q105" s="185"/>
      <c r="R105" s="185"/>
      <c r="S105" s="185"/>
      <c r="T105" s="185"/>
      <c r="U105" s="185"/>
      <c r="V105" s="185"/>
      <c r="W105" s="185"/>
      <c r="X105" s="182"/>
    </row>
    <row r="106" spans="1:24" s="174" customFormat="1">
      <c r="A106" s="43">
        <v>106</v>
      </c>
      <c r="B106" s="43"/>
      <c r="C106" s="8"/>
      <c r="D106" s="8"/>
      <c r="E106" s="60"/>
      <c r="F106" s="14" t="s">
        <v>533</v>
      </c>
      <c r="G106" s="30" t="s">
        <v>100</v>
      </c>
      <c r="H106" s="30" t="s">
        <v>100</v>
      </c>
      <c r="I106" s="331">
        <f>MAX(IFERROR(DATEVALUE(M106),0),IFERROR(DATEVALUE(N106),0),IFERROR(DATEVALUE(O106),0))</f>
        <v>0</v>
      </c>
      <c r="J106" s="33"/>
      <c r="K106" s="33"/>
      <c r="L106" s="33"/>
      <c r="M106" s="33"/>
      <c r="N106" s="59" t="s">
        <v>100</v>
      </c>
      <c r="O106" s="59"/>
      <c r="P106" s="59"/>
      <c r="Q106" s="59"/>
      <c r="R106" s="59"/>
      <c r="S106" s="59"/>
      <c r="T106" s="59"/>
      <c r="U106" s="59"/>
      <c r="V106" s="59"/>
      <c r="W106" s="49"/>
      <c r="X106" s="182"/>
    </row>
    <row r="107" spans="1:24" s="174" customFormat="1">
      <c r="A107" s="43">
        <v>107</v>
      </c>
      <c r="B107" s="43"/>
      <c r="C107" s="8"/>
      <c r="D107" s="8"/>
      <c r="E107" s="60"/>
      <c r="F107" s="14" t="s">
        <v>556</v>
      </c>
      <c r="G107" s="30" t="s">
        <v>100</v>
      </c>
      <c r="H107" s="30" t="s">
        <v>100</v>
      </c>
      <c r="I107" s="382">
        <f>SUM(N107:W107)</f>
        <v>0</v>
      </c>
      <c r="J107" s="33"/>
      <c r="K107" s="33"/>
      <c r="L107" s="33"/>
      <c r="M107" s="33"/>
      <c r="N107" s="185"/>
      <c r="O107" s="59"/>
      <c r="P107" s="59"/>
      <c r="Q107" s="59"/>
      <c r="R107" s="59"/>
      <c r="S107" s="59"/>
      <c r="T107" s="59"/>
      <c r="U107" s="59"/>
      <c r="V107" s="59"/>
      <c r="W107" s="49"/>
      <c r="X107" s="182"/>
    </row>
    <row r="108" spans="1:24" s="378" customFormat="1">
      <c r="A108" s="43">
        <v>108</v>
      </c>
      <c r="B108" s="43"/>
      <c r="C108" s="8"/>
      <c r="D108" s="8"/>
      <c r="E108" s="60"/>
      <c r="F108" s="379" t="s">
        <v>557</v>
      </c>
      <c r="G108" s="30"/>
      <c r="H108" s="30" t="s">
        <v>100</v>
      </c>
      <c r="I108" s="331">
        <f>MAX(IFERROR(DATEVALUE(M108),0),IFERROR(DATEVALUE(N108),0),IFERROR(DATEVALUE(O108),0))</f>
        <v>0</v>
      </c>
      <c r="J108" s="33"/>
      <c r="K108" s="33"/>
      <c r="L108" s="33"/>
      <c r="M108" s="33"/>
      <c r="N108" s="185"/>
      <c r="O108" s="59"/>
      <c r="P108" s="59"/>
      <c r="Q108" s="59"/>
      <c r="R108" s="59"/>
      <c r="S108" s="59"/>
      <c r="T108" s="59"/>
      <c r="U108" s="59"/>
      <c r="V108" s="59"/>
      <c r="W108" s="49"/>
      <c r="X108" s="182"/>
    </row>
    <row r="109" spans="1:24" s="378" customFormat="1">
      <c r="A109" s="43">
        <v>109</v>
      </c>
      <c r="B109" s="43"/>
      <c r="C109" s="8"/>
      <c r="D109" s="8"/>
      <c r="E109" s="60"/>
      <c r="F109" s="379"/>
      <c r="G109" s="30"/>
      <c r="H109" s="30" t="s">
        <v>100</v>
      </c>
      <c r="I109" s="382"/>
      <c r="J109" s="33"/>
      <c r="K109" s="33"/>
      <c r="L109" s="33"/>
      <c r="M109" s="33"/>
      <c r="N109" s="185"/>
      <c r="O109" s="59"/>
      <c r="P109" s="59"/>
      <c r="Q109" s="59"/>
      <c r="R109" s="59"/>
      <c r="S109" s="59"/>
      <c r="T109" s="59"/>
      <c r="U109" s="59"/>
      <c r="V109" s="59"/>
      <c r="W109" s="49"/>
      <c r="X109" s="182"/>
    </row>
    <row r="110" spans="1:24" s="174" customFormat="1">
      <c r="A110" s="43">
        <v>110</v>
      </c>
      <c r="B110" s="43"/>
      <c r="C110" s="8" t="s">
        <v>530</v>
      </c>
      <c r="D110" s="8"/>
      <c r="E110" s="60"/>
      <c r="F110" s="379" t="s">
        <v>119</v>
      </c>
      <c r="G110" s="30" t="s">
        <v>100</v>
      </c>
      <c r="H110" s="30" t="s">
        <v>100</v>
      </c>
      <c r="I110" s="382">
        <f t="shared" ref="I110:I120" si="4">SUM(N110:W110)</f>
        <v>0</v>
      </c>
      <c r="J110" s="33"/>
      <c r="K110" s="33"/>
      <c r="L110" s="33"/>
      <c r="M110" s="33"/>
      <c r="N110" s="185"/>
      <c r="O110" s="185"/>
      <c r="P110" s="185"/>
      <c r="Q110" s="185"/>
      <c r="R110" s="185"/>
      <c r="S110" s="185"/>
      <c r="T110" s="185"/>
      <c r="U110" s="185"/>
      <c r="V110" s="185"/>
      <c r="W110" s="185"/>
      <c r="X110" s="182"/>
    </row>
    <row r="111" spans="1:24" s="174" customFormat="1">
      <c r="A111" s="43">
        <v>111</v>
      </c>
      <c r="B111" s="43"/>
      <c r="C111" s="8"/>
      <c r="D111" s="8"/>
      <c r="E111" s="60"/>
      <c r="F111" s="14" t="s">
        <v>534</v>
      </c>
      <c r="G111" s="30" t="s">
        <v>100</v>
      </c>
      <c r="H111" s="30" t="s">
        <v>100</v>
      </c>
      <c r="I111" s="382">
        <f t="shared" si="4"/>
        <v>0</v>
      </c>
      <c r="J111" s="33"/>
      <c r="K111" s="33"/>
      <c r="L111" s="33"/>
      <c r="M111" s="33"/>
      <c r="N111" s="185"/>
      <c r="O111" s="59"/>
      <c r="P111" s="59"/>
      <c r="Q111" s="59"/>
      <c r="R111" s="59"/>
      <c r="S111" s="59"/>
      <c r="T111" s="59"/>
      <c r="U111" s="59"/>
      <c r="V111" s="59"/>
      <c r="W111" s="49"/>
      <c r="X111" s="182"/>
    </row>
    <row r="112" spans="1:24" s="174" customFormat="1">
      <c r="A112" s="43">
        <v>112</v>
      </c>
      <c r="B112" s="43"/>
      <c r="C112" s="8"/>
      <c r="D112" s="8"/>
      <c r="E112" s="60"/>
      <c r="F112" s="14"/>
      <c r="G112" s="30" t="s">
        <v>100</v>
      </c>
      <c r="H112" s="30" t="s">
        <v>100</v>
      </c>
      <c r="I112" s="382"/>
      <c r="J112" s="33"/>
      <c r="K112" s="33"/>
      <c r="L112" s="33"/>
      <c r="M112" s="33"/>
      <c r="N112" s="185"/>
      <c r="O112" s="59"/>
      <c r="P112" s="59"/>
      <c r="Q112" s="59"/>
      <c r="R112" s="59"/>
      <c r="S112" s="59"/>
      <c r="T112" s="59"/>
      <c r="U112" s="59"/>
      <c r="V112" s="59"/>
      <c r="W112" s="49"/>
      <c r="X112" s="182"/>
    </row>
    <row r="113" spans="1:24" s="174" customFormat="1">
      <c r="A113" s="43">
        <v>113</v>
      </c>
      <c r="B113" s="43"/>
      <c r="C113" s="8" t="s">
        <v>531</v>
      </c>
      <c r="D113" s="8"/>
      <c r="E113" s="60"/>
      <c r="F113" s="379" t="s">
        <v>119</v>
      </c>
      <c r="G113" s="30" t="s">
        <v>100</v>
      </c>
      <c r="H113" s="30" t="s">
        <v>100</v>
      </c>
      <c r="I113" s="382">
        <f t="shared" si="4"/>
        <v>0</v>
      </c>
      <c r="J113" s="33"/>
      <c r="K113" s="33"/>
      <c r="L113" s="33"/>
      <c r="M113" s="33"/>
      <c r="N113" s="185"/>
      <c r="O113" s="185"/>
      <c r="P113" s="185"/>
      <c r="Q113" s="185"/>
      <c r="R113" s="185"/>
      <c r="S113" s="185"/>
      <c r="T113" s="185"/>
      <c r="U113" s="185"/>
      <c r="V113" s="185"/>
      <c r="W113" s="185"/>
      <c r="X113" s="182"/>
    </row>
    <row r="114" spans="1:24" s="174" customFormat="1">
      <c r="A114" s="43">
        <v>114</v>
      </c>
      <c r="B114" s="43"/>
      <c r="C114" s="8"/>
      <c r="D114" s="8"/>
      <c r="E114" s="60"/>
      <c r="F114" s="14" t="s">
        <v>535</v>
      </c>
      <c r="G114" s="30" t="s">
        <v>100</v>
      </c>
      <c r="H114" s="30" t="s">
        <v>100</v>
      </c>
      <c r="I114" s="382">
        <f t="shared" si="4"/>
        <v>0</v>
      </c>
      <c r="J114" s="33"/>
      <c r="K114" s="33"/>
      <c r="L114" s="33"/>
      <c r="M114" s="33"/>
      <c r="N114" s="185"/>
      <c r="O114" s="59"/>
      <c r="P114" s="59"/>
      <c r="Q114" s="59"/>
      <c r="R114" s="59"/>
      <c r="S114" s="59"/>
      <c r="T114" s="59"/>
      <c r="U114" s="59"/>
      <c r="V114" s="59"/>
      <c r="W114" s="49"/>
      <c r="X114" s="182"/>
    </row>
    <row r="115" spans="1:24" s="174" customFormat="1">
      <c r="A115" s="43">
        <v>115</v>
      </c>
      <c r="B115" s="43"/>
      <c r="C115" s="8"/>
      <c r="D115" s="8"/>
      <c r="E115" s="60"/>
      <c r="F115" s="14" t="s">
        <v>100</v>
      </c>
      <c r="G115" s="30" t="s">
        <v>100</v>
      </c>
      <c r="H115" s="30" t="s">
        <v>100</v>
      </c>
      <c r="I115" s="382"/>
      <c r="J115" s="33"/>
      <c r="K115" s="33"/>
      <c r="L115" s="33"/>
      <c r="M115" s="33"/>
      <c r="N115" s="185"/>
      <c r="O115" s="59"/>
      <c r="P115" s="59"/>
      <c r="Q115" s="59"/>
      <c r="R115" s="59"/>
      <c r="S115" s="59"/>
      <c r="T115" s="59"/>
      <c r="U115" s="59"/>
      <c r="V115" s="59"/>
      <c r="W115" s="49"/>
      <c r="X115" s="182"/>
    </row>
    <row r="116" spans="1:24" s="174" customFormat="1">
      <c r="A116" s="43">
        <v>116</v>
      </c>
      <c r="B116" s="43"/>
      <c r="C116" s="8" t="s">
        <v>560</v>
      </c>
      <c r="D116" s="8"/>
      <c r="E116" s="60"/>
      <c r="F116" s="379" t="s">
        <v>119</v>
      </c>
      <c r="G116" s="30" t="s">
        <v>100</v>
      </c>
      <c r="H116" s="30" t="s">
        <v>100</v>
      </c>
      <c r="I116" s="382">
        <f t="shared" si="4"/>
        <v>0</v>
      </c>
      <c r="J116" s="33"/>
      <c r="K116" s="33"/>
      <c r="L116" s="33"/>
      <c r="M116" s="33"/>
      <c r="N116" s="185"/>
      <c r="O116" s="185"/>
      <c r="P116" s="185"/>
      <c r="Q116" s="185"/>
      <c r="R116" s="185"/>
      <c r="S116" s="185"/>
      <c r="T116" s="185"/>
      <c r="U116" s="185"/>
      <c r="V116" s="185"/>
      <c r="W116" s="185"/>
      <c r="X116" s="182"/>
    </row>
    <row r="117" spans="1:24" s="174" customFormat="1">
      <c r="A117" s="43">
        <v>117</v>
      </c>
      <c r="B117" s="43"/>
      <c r="C117" s="8"/>
      <c r="D117" s="8"/>
      <c r="E117" s="60"/>
      <c r="F117" s="14"/>
      <c r="G117" s="30" t="s">
        <v>100</v>
      </c>
      <c r="H117" s="30" t="s">
        <v>100</v>
      </c>
      <c r="I117" s="329"/>
      <c r="J117" s="33"/>
      <c r="K117" s="33"/>
      <c r="L117" s="33"/>
      <c r="M117" s="33"/>
      <c r="N117" s="185"/>
      <c r="O117" s="185"/>
      <c r="P117" s="185"/>
      <c r="Q117" s="185"/>
      <c r="R117" s="185"/>
      <c r="S117" s="185"/>
      <c r="T117" s="185"/>
      <c r="U117" s="185"/>
      <c r="V117" s="185"/>
      <c r="W117" s="185"/>
      <c r="X117" s="182"/>
    </row>
    <row r="118" spans="1:24" s="174" customFormat="1">
      <c r="A118" s="43">
        <v>118</v>
      </c>
      <c r="B118" s="43"/>
      <c r="C118" s="8" t="s">
        <v>561</v>
      </c>
      <c r="D118" s="8"/>
      <c r="E118" s="60"/>
      <c r="F118" s="14"/>
      <c r="G118" s="30" t="s">
        <v>100</v>
      </c>
      <c r="H118" s="30" t="s">
        <v>100</v>
      </c>
      <c r="I118" s="382">
        <f t="shared" si="4"/>
        <v>0</v>
      </c>
      <c r="J118" s="33"/>
      <c r="K118" s="33"/>
      <c r="L118" s="33"/>
      <c r="M118" s="33"/>
      <c r="N118" s="185"/>
      <c r="O118" s="185"/>
      <c r="P118" s="185"/>
      <c r="Q118" s="185"/>
      <c r="R118" s="185"/>
      <c r="S118" s="185"/>
      <c r="T118" s="185"/>
      <c r="U118" s="185"/>
      <c r="V118" s="185"/>
      <c r="W118" s="185"/>
      <c r="X118" s="182"/>
    </row>
    <row r="119" spans="1:24" s="174" customFormat="1">
      <c r="A119" s="43">
        <v>119</v>
      </c>
      <c r="B119" s="43"/>
      <c r="C119" s="8"/>
      <c r="D119" s="8"/>
      <c r="E119" s="60"/>
      <c r="F119" s="14"/>
      <c r="G119" s="30" t="s">
        <v>100</v>
      </c>
      <c r="H119" s="30" t="s">
        <v>100</v>
      </c>
      <c r="I119" s="329"/>
      <c r="J119" s="33"/>
      <c r="K119" s="33"/>
      <c r="L119" s="33"/>
      <c r="M119" s="33"/>
      <c r="N119" s="185"/>
      <c r="O119" s="185"/>
      <c r="P119" s="185"/>
      <c r="Q119" s="185"/>
      <c r="R119" s="185"/>
      <c r="S119" s="185"/>
      <c r="T119" s="185"/>
      <c r="U119" s="185"/>
      <c r="V119" s="185"/>
      <c r="W119" s="185"/>
      <c r="X119" s="182"/>
    </row>
    <row r="120" spans="1:24" s="174" customFormat="1">
      <c r="A120" s="43">
        <v>120</v>
      </c>
      <c r="B120" s="43"/>
      <c r="C120" s="8" t="s">
        <v>562</v>
      </c>
      <c r="D120" s="8"/>
      <c r="E120" s="60"/>
      <c r="F120" s="14"/>
      <c r="G120" s="30" t="s">
        <v>100</v>
      </c>
      <c r="H120" s="30" t="s">
        <v>100</v>
      </c>
      <c r="I120" s="382">
        <f t="shared" si="4"/>
        <v>0</v>
      </c>
      <c r="J120" s="33"/>
      <c r="K120" s="33"/>
      <c r="L120" s="33"/>
      <c r="M120" s="33"/>
      <c r="N120" s="185"/>
      <c r="O120" s="185"/>
      <c r="P120" s="185"/>
      <c r="Q120" s="185"/>
      <c r="R120" s="185"/>
      <c r="S120" s="185"/>
      <c r="T120" s="185"/>
      <c r="U120" s="185"/>
      <c r="V120" s="185"/>
      <c r="W120" s="185"/>
      <c r="X120" s="182"/>
    </row>
    <row r="121" spans="1:24" s="174" customFormat="1">
      <c r="A121" s="43">
        <v>121</v>
      </c>
      <c r="B121" s="43"/>
      <c r="C121" s="8"/>
      <c r="D121" s="8"/>
      <c r="E121" s="60"/>
      <c r="F121" s="14"/>
      <c r="G121" s="30" t="s">
        <v>100</v>
      </c>
      <c r="H121" s="30" t="s">
        <v>100</v>
      </c>
      <c r="I121" s="329"/>
      <c r="J121" s="33"/>
      <c r="K121" s="33"/>
      <c r="L121" s="33"/>
      <c r="M121" s="33"/>
      <c r="N121" s="185"/>
      <c r="O121" s="185"/>
      <c r="P121" s="185"/>
      <c r="Q121" s="185"/>
      <c r="R121" s="185"/>
      <c r="S121" s="185"/>
      <c r="T121" s="185"/>
      <c r="U121" s="185"/>
      <c r="V121" s="185"/>
      <c r="W121" s="185"/>
      <c r="X121" s="182"/>
    </row>
    <row r="122" spans="1:24" s="174" customFormat="1">
      <c r="A122" s="43">
        <v>122</v>
      </c>
      <c r="B122" s="43"/>
      <c r="C122" s="8"/>
      <c r="D122" s="8"/>
      <c r="E122" s="60"/>
      <c r="F122" s="14"/>
      <c r="G122" s="30" t="s">
        <v>100</v>
      </c>
      <c r="H122" s="30" t="s">
        <v>100</v>
      </c>
      <c r="I122" s="329"/>
      <c r="J122" s="33"/>
      <c r="K122" s="33"/>
      <c r="L122" s="33"/>
      <c r="M122" s="33"/>
      <c r="N122" s="185"/>
      <c r="O122" s="185"/>
      <c r="P122" s="185"/>
      <c r="Q122" s="185"/>
      <c r="R122" s="185"/>
      <c r="S122" s="185"/>
      <c r="T122" s="185"/>
      <c r="U122" s="185"/>
      <c r="V122" s="185"/>
      <c r="W122" s="185"/>
      <c r="X122" s="182"/>
    </row>
    <row r="123" spans="1:24" s="174" customFormat="1">
      <c r="A123" s="43">
        <v>123</v>
      </c>
      <c r="B123" s="43"/>
      <c r="C123" s="8"/>
      <c r="D123" s="8"/>
      <c r="E123" s="60"/>
      <c r="F123" s="14"/>
      <c r="G123" s="30"/>
      <c r="H123" s="30" t="s">
        <v>100</v>
      </c>
      <c r="I123" s="329"/>
      <c r="J123" s="33"/>
      <c r="K123" s="33"/>
      <c r="L123" s="33"/>
      <c r="M123" s="33"/>
      <c r="N123" s="185"/>
      <c r="O123" s="185"/>
      <c r="P123" s="185"/>
      <c r="Q123" s="185"/>
      <c r="R123" s="185"/>
      <c r="S123" s="185"/>
      <c r="T123" s="185"/>
      <c r="U123" s="185"/>
      <c r="V123" s="185"/>
      <c r="W123" s="185"/>
      <c r="X123" s="182"/>
    </row>
    <row r="124" spans="1:24" s="174" customFormat="1">
      <c r="A124" s="43">
        <v>124</v>
      </c>
      <c r="B124" s="43"/>
      <c r="C124" s="8"/>
      <c r="D124" s="8"/>
      <c r="E124" s="60"/>
      <c r="F124" s="14"/>
      <c r="G124" s="30"/>
      <c r="H124" s="30" t="s">
        <v>100</v>
      </c>
      <c r="I124" s="329"/>
      <c r="J124" s="33"/>
      <c r="K124" s="33"/>
      <c r="L124" s="33"/>
      <c r="M124" s="33"/>
      <c r="N124" s="185"/>
      <c r="O124" s="185"/>
      <c r="P124" s="185"/>
      <c r="Q124" s="185"/>
      <c r="R124" s="185"/>
      <c r="S124" s="185"/>
      <c r="T124" s="185"/>
      <c r="U124" s="185"/>
      <c r="V124" s="185"/>
      <c r="W124" s="185"/>
      <c r="X124" s="182"/>
    </row>
    <row r="125" spans="1:24" s="174" customFormat="1">
      <c r="A125" s="43">
        <v>125</v>
      </c>
      <c r="B125" s="43"/>
      <c r="C125" s="8"/>
      <c r="D125" s="8"/>
      <c r="E125" s="60"/>
      <c r="F125" s="14"/>
      <c r="G125" s="30"/>
      <c r="H125" s="30" t="s">
        <v>100</v>
      </c>
      <c r="I125" s="329"/>
      <c r="J125" s="33"/>
      <c r="K125" s="33"/>
      <c r="L125" s="33"/>
      <c r="M125" s="33"/>
      <c r="N125" s="185"/>
      <c r="O125" s="185"/>
      <c r="P125" s="185"/>
      <c r="Q125" s="185"/>
      <c r="R125" s="185"/>
      <c r="S125" s="185"/>
      <c r="T125" s="185"/>
      <c r="U125" s="185"/>
      <c r="V125" s="185"/>
      <c r="W125" s="185"/>
      <c r="X125" s="182"/>
    </row>
    <row r="126" spans="1:24" s="174" customFormat="1">
      <c r="A126" s="43">
        <v>126</v>
      </c>
      <c r="B126" s="43"/>
      <c r="C126" s="8"/>
      <c r="D126" s="8"/>
      <c r="E126" s="60"/>
      <c r="F126" s="14"/>
      <c r="G126" s="30"/>
      <c r="H126" s="30" t="s">
        <v>100</v>
      </c>
      <c r="I126" s="329"/>
      <c r="J126" s="33"/>
      <c r="K126" s="33"/>
      <c r="L126" s="33"/>
      <c r="M126" s="33"/>
      <c r="N126" s="185"/>
      <c r="O126" s="185"/>
      <c r="P126" s="185"/>
      <c r="Q126" s="185"/>
      <c r="R126" s="185"/>
      <c r="S126" s="185"/>
      <c r="T126" s="185"/>
      <c r="U126" s="185"/>
      <c r="V126" s="185"/>
      <c r="W126" s="185"/>
      <c r="X126" s="182"/>
    </row>
    <row r="127" spans="1:24" s="174" customFormat="1">
      <c r="A127" s="43">
        <v>127</v>
      </c>
      <c r="B127" s="43"/>
      <c r="C127" s="8"/>
      <c r="D127" s="8"/>
      <c r="E127" s="60"/>
      <c r="F127" s="14"/>
      <c r="G127" s="30"/>
      <c r="H127" s="30" t="s">
        <v>100</v>
      </c>
      <c r="I127" s="329"/>
      <c r="J127" s="33"/>
      <c r="K127" s="33"/>
      <c r="L127" s="33"/>
      <c r="M127" s="33"/>
      <c r="N127" s="185"/>
      <c r="O127" s="185"/>
      <c r="P127" s="185"/>
      <c r="Q127" s="185"/>
      <c r="R127" s="185"/>
      <c r="S127" s="185"/>
      <c r="T127" s="185"/>
      <c r="U127" s="185"/>
      <c r="V127" s="185"/>
      <c r="W127" s="185"/>
      <c r="X127" s="182"/>
    </row>
    <row r="128" spans="1:24" s="174" customFormat="1">
      <c r="A128" s="43">
        <v>128</v>
      </c>
      <c r="B128" s="43"/>
      <c r="C128" s="8"/>
      <c r="D128" s="8"/>
      <c r="E128" s="60"/>
      <c r="F128" s="14"/>
      <c r="G128" s="30"/>
      <c r="H128" s="30" t="s">
        <v>100</v>
      </c>
      <c r="I128" s="329"/>
      <c r="J128" s="33"/>
      <c r="K128" s="33"/>
      <c r="L128" s="33"/>
      <c r="M128" s="33"/>
      <c r="N128" s="185"/>
      <c r="O128" s="185"/>
      <c r="P128" s="185"/>
      <c r="Q128" s="185"/>
      <c r="R128" s="185"/>
      <c r="S128" s="185"/>
      <c r="T128" s="185"/>
      <c r="U128" s="185"/>
      <c r="V128" s="185"/>
      <c r="W128" s="185"/>
      <c r="X128" s="182"/>
    </row>
    <row r="129" spans="1:24" s="174" customFormat="1">
      <c r="A129" s="43">
        <v>129</v>
      </c>
      <c r="B129" s="43"/>
      <c r="C129" s="8"/>
      <c r="D129" s="8"/>
      <c r="E129" s="60"/>
      <c r="F129" s="14"/>
      <c r="G129" s="30"/>
      <c r="H129" s="30" t="s">
        <v>100</v>
      </c>
      <c r="I129" s="329"/>
      <c r="J129" s="33"/>
      <c r="K129" s="33"/>
      <c r="L129" s="33"/>
      <c r="M129" s="33"/>
      <c r="N129" s="185"/>
      <c r="O129" s="185"/>
      <c r="P129" s="185"/>
      <c r="Q129" s="185"/>
      <c r="R129" s="185"/>
      <c r="S129" s="185"/>
      <c r="T129" s="185"/>
      <c r="U129" s="185"/>
      <c r="V129" s="185"/>
      <c r="W129" s="185"/>
      <c r="X129" s="182"/>
    </row>
    <row r="130" spans="1:24">
      <c r="A130" s="43">
        <v>130</v>
      </c>
      <c r="B130" s="43"/>
      <c r="C130" s="8"/>
      <c r="D130" s="8"/>
      <c r="E130" s="8"/>
      <c r="F130" s="14"/>
      <c r="G130" s="30"/>
      <c r="H130" s="30" t="s">
        <v>100</v>
      </c>
      <c r="I130" s="330"/>
      <c r="J130" s="33"/>
      <c r="K130" s="33"/>
      <c r="L130" s="33"/>
      <c r="M130" s="33"/>
      <c r="N130" s="185"/>
      <c r="O130" s="185"/>
      <c r="P130" s="185"/>
      <c r="Q130" s="185"/>
      <c r="R130" s="185"/>
      <c r="S130" s="185"/>
      <c r="T130" s="185"/>
      <c r="U130" s="185"/>
      <c r="V130" s="185"/>
      <c r="W130" s="185"/>
      <c r="X130" s="186"/>
    </row>
    <row r="131" spans="1:24">
      <c r="A131" s="43">
        <v>131</v>
      </c>
      <c r="B131" s="43"/>
      <c r="C131" s="8"/>
      <c r="D131" s="8"/>
      <c r="E131" s="8"/>
      <c r="F131" s="14"/>
      <c r="G131" s="30"/>
      <c r="H131" s="30" t="s">
        <v>100</v>
      </c>
      <c r="I131" s="329"/>
      <c r="J131" s="33">
        <v>0</v>
      </c>
      <c r="K131" s="33"/>
      <c r="L131" s="33"/>
      <c r="M131" s="33"/>
      <c r="N131" s="185"/>
      <c r="O131" s="185"/>
      <c r="P131" s="185"/>
      <c r="Q131" s="185"/>
      <c r="R131" s="185"/>
      <c r="S131" s="185"/>
      <c r="T131" s="185"/>
      <c r="U131" s="185"/>
      <c r="V131" s="185"/>
      <c r="W131" s="185"/>
      <c r="X131" s="183"/>
    </row>
    <row r="132" spans="1:24">
      <c r="A132" s="43">
        <v>132</v>
      </c>
      <c r="B132" s="43"/>
      <c r="C132" s="8"/>
      <c r="D132" s="8"/>
      <c r="E132" s="8"/>
      <c r="F132" s="14"/>
      <c r="G132" s="30"/>
      <c r="H132" s="30" t="s">
        <v>100</v>
      </c>
      <c r="I132" s="329"/>
      <c r="J132" s="33"/>
      <c r="K132" s="33"/>
      <c r="L132" s="33"/>
      <c r="M132" s="33"/>
      <c r="N132" s="185"/>
      <c r="O132" s="185"/>
      <c r="P132" s="185"/>
      <c r="Q132" s="185"/>
      <c r="R132" s="185"/>
      <c r="S132" s="185"/>
      <c r="T132" s="185"/>
      <c r="U132" s="185"/>
      <c r="V132" s="185"/>
      <c r="W132" s="185"/>
      <c r="X132" s="183"/>
    </row>
    <row r="133" spans="1:24">
      <c r="A133" s="43">
        <v>133</v>
      </c>
      <c r="B133" s="43"/>
      <c r="C133" s="8"/>
      <c r="D133" s="8"/>
      <c r="E133" s="8"/>
      <c r="F133" s="14"/>
      <c r="G133" s="30"/>
      <c r="H133" s="30" t="s">
        <v>100</v>
      </c>
      <c r="I133" s="329"/>
      <c r="J133" s="33">
        <v>3275</v>
      </c>
      <c r="K133" s="33"/>
      <c r="L133" s="33"/>
      <c r="M133" s="33"/>
      <c r="N133" s="185"/>
      <c r="O133" s="59"/>
      <c r="P133" s="59"/>
      <c r="Q133" s="59"/>
      <c r="R133" s="59"/>
      <c r="S133" s="59"/>
      <c r="T133" s="59"/>
      <c r="U133" s="59"/>
      <c r="V133" s="59"/>
      <c r="W133" s="49"/>
      <c r="X133" s="254"/>
    </row>
    <row r="134" spans="1:24" s="174" customFormat="1">
      <c r="A134" s="43">
        <v>134</v>
      </c>
      <c r="B134" s="43"/>
      <c r="C134" s="8"/>
      <c r="D134" s="8"/>
      <c r="E134" s="8"/>
      <c r="F134" s="14"/>
      <c r="G134" s="30"/>
      <c r="H134" s="30" t="s">
        <v>100</v>
      </c>
      <c r="I134" s="329"/>
      <c r="J134" s="33"/>
      <c r="K134" s="33"/>
      <c r="L134" s="33"/>
      <c r="M134" s="33"/>
      <c r="N134" s="185"/>
      <c r="O134" s="59"/>
      <c r="P134" s="59"/>
      <c r="Q134" s="59"/>
      <c r="R134" s="59"/>
      <c r="S134" s="59"/>
      <c r="T134" s="59"/>
      <c r="U134" s="59"/>
      <c r="V134" s="59"/>
      <c r="W134" s="49"/>
      <c r="X134" s="254"/>
    </row>
    <row r="135" spans="1:24" s="174" customFormat="1">
      <c r="A135" s="43">
        <v>135</v>
      </c>
      <c r="B135" s="43"/>
      <c r="C135" s="8"/>
      <c r="D135" s="8"/>
      <c r="E135" s="8"/>
      <c r="F135" s="14"/>
      <c r="G135" s="30"/>
      <c r="H135" s="30" t="s">
        <v>100</v>
      </c>
      <c r="I135" s="329"/>
      <c r="J135" s="33"/>
      <c r="K135" s="33"/>
      <c r="L135" s="33"/>
      <c r="M135" s="33"/>
      <c r="N135" s="59" t="s">
        <v>100</v>
      </c>
      <c r="O135" s="59"/>
      <c r="P135" s="59"/>
      <c r="Q135" s="59"/>
      <c r="R135" s="59"/>
      <c r="S135" s="59"/>
      <c r="T135" s="59"/>
      <c r="U135" s="59"/>
      <c r="V135" s="59"/>
      <c r="W135" s="49"/>
      <c r="X135" s="183"/>
    </row>
    <row r="136" spans="1:24">
      <c r="A136" s="43">
        <v>136</v>
      </c>
      <c r="B136" s="43"/>
      <c r="C136" s="8"/>
      <c r="D136" s="8"/>
      <c r="E136" s="8"/>
      <c r="F136" s="14"/>
      <c r="G136" s="30"/>
      <c r="H136" s="30" t="s">
        <v>100</v>
      </c>
      <c r="I136" s="329"/>
      <c r="J136" s="33"/>
      <c r="K136" s="33"/>
      <c r="L136" s="33"/>
      <c r="M136" s="33"/>
      <c r="N136" s="59" t="s">
        <v>100</v>
      </c>
      <c r="O136" s="59"/>
      <c r="P136" s="59"/>
      <c r="Q136" s="59"/>
      <c r="R136" s="59"/>
      <c r="S136" s="59"/>
      <c r="T136" s="59"/>
      <c r="U136" s="59"/>
      <c r="V136" s="59"/>
      <c r="W136" s="49"/>
      <c r="X136" s="183"/>
    </row>
    <row r="137" spans="1:24">
      <c r="A137" s="43">
        <v>137</v>
      </c>
      <c r="B137" s="43"/>
      <c r="C137" s="8"/>
      <c r="D137" s="8"/>
      <c r="E137" s="8"/>
      <c r="F137" s="14"/>
      <c r="G137" s="30"/>
      <c r="H137" s="30" t="s">
        <v>100</v>
      </c>
      <c r="I137" s="329"/>
      <c r="J137" s="33"/>
      <c r="K137" s="33"/>
      <c r="L137" s="33"/>
      <c r="M137" s="33"/>
      <c r="N137" s="59" t="s">
        <v>100</v>
      </c>
      <c r="O137" s="59"/>
      <c r="P137" s="59"/>
      <c r="Q137" s="59"/>
      <c r="R137" s="59"/>
      <c r="S137" s="59"/>
      <c r="T137" s="59"/>
      <c r="U137" s="59"/>
      <c r="V137" s="59"/>
      <c r="W137" s="49"/>
      <c r="X137" s="183"/>
    </row>
    <row r="138" spans="1:24">
      <c r="A138" s="43">
        <v>138</v>
      </c>
      <c r="B138" s="43"/>
      <c r="C138" s="8"/>
      <c r="D138" s="8"/>
      <c r="E138" s="8"/>
      <c r="F138" s="14" t="s">
        <v>100</v>
      </c>
      <c r="G138" s="30" t="s">
        <v>100</v>
      </c>
      <c r="H138" s="30" t="s">
        <v>100</v>
      </c>
      <c r="I138" s="329"/>
      <c r="J138" s="33"/>
      <c r="K138" s="33"/>
      <c r="L138" s="33"/>
      <c r="M138" s="33"/>
      <c r="N138" s="59" t="s">
        <v>100</v>
      </c>
      <c r="O138" s="59"/>
      <c r="P138" s="59"/>
      <c r="Q138" s="59"/>
      <c r="R138" s="59"/>
      <c r="S138" s="59"/>
      <c r="T138" s="59"/>
      <c r="U138" s="59"/>
      <c r="V138" s="59"/>
      <c r="W138" s="49"/>
      <c r="X138" s="183"/>
    </row>
    <row r="139" spans="1:24">
      <c r="A139" s="43">
        <v>139</v>
      </c>
      <c r="B139" s="43" t="s">
        <v>516</v>
      </c>
      <c r="C139" s="8" t="s">
        <v>170</v>
      </c>
      <c r="D139" s="8"/>
      <c r="E139" s="8"/>
      <c r="F139" s="14" t="s">
        <v>44</v>
      </c>
      <c r="G139" s="30" t="s">
        <v>171</v>
      </c>
      <c r="H139" s="30" t="s">
        <v>100</v>
      </c>
      <c r="I139" s="329"/>
      <c r="J139" s="33"/>
      <c r="K139" s="33"/>
      <c r="L139" s="33"/>
      <c r="M139" s="33"/>
      <c r="N139" s="185"/>
      <c r="O139" s="59"/>
      <c r="P139" s="59"/>
      <c r="Q139" s="59"/>
      <c r="R139" s="59"/>
      <c r="S139" s="59"/>
      <c r="T139" s="59"/>
      <c r="U139" s="59"/>
      <c r="V139" s="59"/>
      <c r="W139" s="49"/>
      <c r="X139" s="183"/>
    </row>
    <row r="140" spans="1:24">
      <c r="A140" s="43">
        <v>140</v>
      </c>
      <c r="B140" s="43" t="s">
        <v>516</v>
      </c>
      <c r="C140" s="8" t="s">
        <v>45</v>
      </c>
      <c r="D140" s="8"/>
      <c r="E140" s="8"/>
      <c r="F140" s="14" t="s">
        <v>44</v>
      </c>
      <c r="G140" s="30" t="s">
        <v>100</v>
      </c>
      <c r="H140" s="30" t="s">
        <v>100</v>
      </c>
      <c r="I140" s="329"/>
      <c r="J140" s="41">
        <v>1</v>
      </c>
      <c r="K140" s="33"/>
      <c r="L140" s="33"/>
      <c r="M140" s="33"/>
      <c r="N140" s="185">
        <v>12866</v>
      </c>
      <c r="O140" s="59"/>
      <c r="P140" s="59"/>
      <c r="Q140" s="59"/>
      <c r="R140" s="59"/>
      <c r="S140" s="59"/>
      <c r="T140" s="59"/>
      <c r="U140" s="59"/>
      <c r="V140" s="59"/>
      <c r="W140" s="49"/>
      <c r="X140" s="183"/>
    </row>
    <row r="141" spans="1:24">
      <c r="A141" s="43">
        <v>141</v>
      </c>
      <c r="B141" s="43" t="s">
        <v>516</v>
      </c>
      <c r="C141" s="8" t="s">
        <v>46</v>
      </c>
      <c r="D141" s="8"/>
      <c r="E141" s="8"/>
      <c r="F141" s="14" t="s">
        <v>44</v>
      </c>
      <c r="G141" s="30" t="s">
        <v>100</v>
      </c>
      <c r="H141" s="30" t="s">
        <v>100</v>
      </c>
      <c r="I141" s="329"/>
      <c r="J141" s="33"/>
      <c r="K141" s="33"/>
      <c r="L141" s="33"/>
      <c r="M141" s="33"/>
      <c r="N141" s="59" t="s">
        <v>589</v>
      </c>
      <c r="O141" s="59"/>
      <c r="P141" s="59"/>
      <c r="Q141" s="59"/>
      <c r="R141" s="59"/>
      <c r="S141" s="59"/>
      <c r="T141" s="59"/>
      <c r="U141" s="59"/>
      <c r="V141" s="59"/>
      <c r="W141" s="49"/>
      <c r="X141" s="183"/>
    </row>
    <row r="142" spans="1:24">
      <c r="A142" s="43">
        <v>142</v>
      </c>
      <c r="B142" s="43"/>
      <c r="C142" s="8" t="s">
        <v>42</v>
      </c>
      <c r="D142" s="8"/>
      <c r="E142" s="8"/>
      <c r="F142" s="14" t="s">
        <v>44</v>
      </c>
      <c r="G142" s="30" t="s">
        <v>100</v>
      </c>
      <c r="H142" s="30" t="s">
        <v>100</v>
      </c>
      <c r="I142" s="330">
        <f>MAX(N142:W142)</f>
        <v>1.75</v>
      </c>
      <c r="J142" s="33"/>
      <c r="K142" s="33"/>
      <c r="L142" s="33"/>
      <c r="M142" s="33"/>
      <c r="N142" s="185">
        <v>1.75</v>
      </c>
      <c r="O142" s="59"/>
      <c r="P142" s="59"/>
      <c r="Q142" s="59"/>
      <c r="R142" s="59"/>
      <c r="S142" s="59"/>
      <c r="T142" s="59"/>
      <c r="U142" s="59"/>
      <c r="V142" s="59"/>
      <c r="W142" s="49"/>
      <c r="X142" s="186"/>
    </row>
    <row r="143" spans="1:24">
      <c r="A143" s="43">
        <v>143</v>
      </c>
      <c r="B143" s="43"/>
      <c r="C143" s="8" t="s">
        <v>47</v>
      </c>
      <c r="D143" s="8"/>
      <c r="E143" s="8"/>
      <c r="F143" s="14" t="s">
        <v>44</v>
      </c>
      <c r="G143" s="30" t="s">
        <v>100</v>
      </c>
      <c r="H143" s="30" t="s">
        <v>100</v>
      </c>
      <c r="I143" s="329"/>
      <c r="J143" s="33"/>
      <c r="K143" s="33"/>
      <c r="L143" s="33"/>
      <c r="M143" s="33"/>
      <c r="N143" s="59" t="s">
        <v>579</v>
      </c>
      <c r="O143" s="59"/>
      <c r="P143" s="59"/>
      <c r="Q143" s="59"/>
      <c r="R143" s="59"/>
      <c r="S143" s="59"/>
      <c r="T143" s="59"/>
      <c r="U143" s="59"/>
      <c r="V143" s="59"/>
      <c r="W143" s="49"/>
      <c r="X143" s="183"/>
    </row>
    <row r="144" spans="1:24">
      <c r="A144" s="43">
        <v>144</v>
      </c>
      <c r="B144" s="43"/>
      <c r="C144" s="8" t="s">
        <v>48</v>
      </c>
      <c r="D144" s="8"/>
      <c r="E144" s="8"/>
      <c r="F144" s="14" t="s">
        <v>44</v>
      </c>
      <c r="G144" s="30" t="s">
        <v>100</v>
      </c>
      <c r="H144" s="30" t="s">
        <v>100</v>
      </c>
      <c r="I144" s="329"/>
      <c r="J144" s="33"/>
      <c r="K144" s="33"/>
      <c r="L144" s="33"/>
      <c r="M144" s="33"/>
      <c r="N144" s="59" t="s">
        <v>100</v>
      </c>
      <c r="O144" s="59"/>
      <c r="P144" s="59"/>
      <c r="Q144" s="59"/>
      <c r="R144" s="59"/>
      <c r="S144" s="59"/>
      <c r="T144" s="59"/>
      <c r="U144" s="59"/>
      <c r="V144" s="59"/>
      <c r="W144" s="49"/>
      <c r="X144" s="183"/>
    </row>
    <row r="145" spans="1:24">
      <c r="A145" s="43">
        <v>145</v>
      </c>
      <c r="B145" s="43"/>
      <c r="C145" s="8" t="s">
        <v>49</v>
      </c>
      <c r="D145" s="8"/>
      <c r="E145" s="8"/>
      <c r="F145" s="14" t="s">
        <v>44</v>
      </c>
      <c r="G145" s="30" t="s">
        <v>100</v>
      </c>
      <c r="H145" s="30" t="s">
        <v>100</v>
      </c>
      <c r="I145" s="329"/>
      <c r="J145" s="33"/>
      <c r="K145" s="33"/>
      <c r="L145" s="33"/>
      <c r="M145" s="33"/>
      <c r="N145" s="59" t="s">
        <v>230</v>
      </c>
      <c r="O145" s="59"/>
      <c r="P145" s="59"/>
      <c r="Q145" s="59"/>
      <c r="R145" s="59"/>
      <c r="S145" s="59"/>
      <c r="T145" s="59"/>
      <c r="U145" s="59"/>
      <c r="V145" s="59"/>
      <c r="W145" s="49"/>
      <c r="X145" s="183"/>
    </row>
    <row r="146" spans="1:24">
      <c r="A146" s="43">
        <v>146</v>
      </c>
      <c r="B146" s="43"/>
      <c r="C146" s="8" t="s">
        <v>50</v>
      </c>
      <c r="D146" s="8"/>
      <c r="E146" s="8"/>
      <c r="F146" s="14" t="s">
        <v>44</v>
      </c>
      <c r="G146" s="30" t="s">
        <v>100</v>
      </c>
      <c r="H146" s="30" t="s">
        <v>100</v>
      </c>
      <c r="I146" s="329"/>
      <c r="J146" s="33"/>
      <c r="K146" s="33"/>
      <c r="L146" s="33"/>
      <c r="M146" s="33"/>
      <c r="N146" s="59" t="s">
        <v>100</v>
      </c>
      <c r="O146" s="59"/>
      <c r="P146" s="59"/>
      <c r="Q146" s="59"/>
      <c r="R146" s="59"/>
      <c r="S146" s="59"/>
      <c r="T146" s="59"/>
      <c r="U146" s="59"/>
      <c r="V146" s="59"/>
      <c r="W146" s="49"/>
      <c r="X146" s="183"/>
    </row>
    <row r="147" spans="1:24">
      <c r="A147" s="43">
        <v>147</v>
      </c>
      <c r="B147" s="43"/>
      <c r="C147" s="8" t="s">
        <v>43</v>
      </c>
      <c r="D147" s="8"/>
      <c r="E147" s="8"/>
      <c r="F147" s="14" t="s">
        <v>44</v>
      </c>
      <c r="G147" s="30" t="s">
        <v>100</v>
      </c>
      <c r="H147" s="30" t="s">
        <v>100</v>
      </c>
      <c r="I147" s="329"/>
      <c r="J147" s="33"/>
      <c r="K147" s="33"/>
      <c r="L147" s="33"/>
      <c r="M147" s="33"/>
      <c r="N147" s="59" t="s">
        <v>582</v>
      </c>
      <c r="O147" s="59"/>
      <c r="P147" s="59"/>
      <c r="Q147" s="59"/>
      <c r="R147" s="59"/>
      <c r="S147" s="59"/>
      <c r="T147" s="59"/>
      <c r="U147" s="59"/>
      <c r="V147" s="59"/>
      <c r="W147" s="49"/>
      <c r="X147" s="183"/>
    </row>
    <row r="148" spans="1:24">
      <c r="A148" s="43">
        <v>148</v>
      </c>
      <c r="B148" s="43"/>
      <c r="C148" s="8" t="s">
        <v>511</v>
      </c>
      <c r="D148" s="8"/>
      <c r="E148" s="8"/>
      <c r="F148" s="379" t="s">
        <v>44</v>
      </c>
      <c r="G148" s="30"/>
      <c r="H148" s="30" t="s">
        <v>100</v>
      </c>
      <c r="I148" s="329"/>
      <c r="J148" s="33"/>
      <c r="K148" s="33"/>
      <c r="L148" s="33"/>
      <c r="M148" s="33"/>
      <c r="N148" s="59" t="s">
        <v>100</v>
      </c>
      <c r="O148" s="59"/>
      <c r="P148" s="59"/>
      <c r="Q148" s="59"/>
      <c r="R148" s="59"/>
      <c r="S148" s="59"/>
      <c r="T148" s="59"/>
      <c r="U148" s="59"/>
      <c r="V148" s="59"/>
      <c r="W148" s="49"/>
      <c r="X148" s="183"/>
    </row>
    <row r="149" spans="1:24">
      <c r="A149" s="43">
        <v>149</v>
      </c>
      <c r="B149" s="43"/>
      <c r="C149" s="8" t="s">
        <v>512</v>
      </c>
      <c r="D149" s="8"/>
      <c r="E149" s="8"/>
      <c r="F149" s="379" t="s">
        <v>44</v>
      </c>
      <c r="G149" s="30" t="s">
        <v>100</v>
      </c>
      <c r="H149" s="30" t="s">
        <v>100</v>
      </c>
      <c r="I149" s="329"/>
      <c r="J149" s="41">
        <v>42370</v>
      </c>
      <c r="K149" s="33"/>
      <c r="L149" s="33"/>
      <c r="M149" s="33"/>
      <c r="N149" s="59" t="s">
        <v>100</v>
      </c>
      <c r="O149" s="59"/>
      <c r="P149" s="59"/>
      <c r="Q149" s="59"/>
      <c r="R149" s="59"/>
      <c r="S149" s="59"/>
      <c r="T149" s="59"/>
      <c r="U149" s="59"/>
      <c r="V149" s="59"/>
      <c r="W149" s="49"/>
      <c r="X149" s="183"/>
    </row>
    <row r="150" spans="1:24">
      <c r="A150" s="43">
        <v>150</v>
      </c>
      <c r="B150" s="43"/>
      <c r="C150" s="8" t="s">
        <v>513</v>
      </c>
      <c r="D150" s="8"/>
      <c r="E150" s="8"/>
      <c r="F150" s="379" t="s">
        <v>44</v>
      </c>
      <c r="G150" s="30" t="s">
        <v>100</v>
      </c>
      <c r="H150" s="30" t="s">
        <v>100</v>
      </c>
      <c r="I150" s="329"/>
      <c r="J150" s="33"/>
      <c r="K150" s="33"/>
      <c r="L150" s="33"/>
      <c r="M150" s="33"/>
      <c r="N150" s="59" t="s">
        <v>100</v>
      </c>
      <c r="O150" s="59"/>
      <c r="P150" s="59"/>
      <c r="Q150" s="59"/>
      <c r="R150" s="59"/>
      <c r="S150" s="59"/>
      <c r="T150" s="59"/>
      <c r="U150" s="59"/>
      <c r="V150" s="59"/>
      <c r="W150" s="49"/>
      <c r="X150" s="183"/>
    </row>
    <row r="151" spans="1:24">
      <c r="A151" s="43">
        <v>151</v>
      </c>
      <c r="B151" s="43"/>
      <c r="C151" s="8" t="s">
        <v>514</v>
      </c>
      <c r="D151" s="8"/>
      <c r="E151" s="8"/>
      <c r="F151" s="379" t="s">
        <v>44</v>
      </c>
      <c r="G151" s="30" t="s">
        <v>100</v>
      </c>
      <c r="H151" s="30" t="s">
        <v>100</v>
      </c>
      <c r="I151" s="329"/>
      <c r="J151" s="33">
        <v>0</v>
      </c>
      <c r="K151" s="33"/>
      <c r="L151" s="33"/>
      <c r="M151" s="33"/>
      <c r="N151" s="59" t="s">
        <v>100</v>
      </c>
      <c r="O151" s="59"/>
      <c r="P151" s="59"/>
      <c r="Q151" s="59"/>
      <c r="R151" s="59"/>
      <c r="S151" s="59"/>
      <c r="T151" s="59"/>
      <c r="U151" s="59"/>
      <c r="V151" s="59"/>
      <c r="W151" s="49"/>
      <c r="X151" s="183"/>
    </row>
    <row r="152" spans="1:24">
      <c r="A152" s="43">
        <v>152</v>
      </c>
      <c r="B152" s="43"/>
      <c r="C152" s="8" t="s">
        <v>515</v>
      </c>
      <c r="D152" s="8"/>
      <c r="E152" s="8"/>
      <c r="F152" s="379" t="s">
        <v>44</v>
      </c>
      <c r="G152" s="30"/>
      <c r="H152" s="30" t="s">
        <v>100</v>
      </c>
      <c r="I152" s="329"/>
      <c r="J152" s="33"/>
      <c r="K152" s="33"/>
      <c r="L152" s="33"/>
      <c r="M152" s="33"/>
      <c r="N152" s="59" t="s">
        <v>100</v>
      </c>
      <c r="O152" s="59"/>
      <c r="P152" s="59"/>
      <c r="Q152" s="59"/>
      <c r="R152" s="59"/>
      <c r="S152" s="59"/>
      <c r="T152" s="59"/>
      <c r="U152" s="59"/>
      <c r="V152" s="59"/>
      <c r="W152" s="49"/>
      <c r="X152" s="183"/>
    </row>
    <row r="153" spans="1:24">
      <c r="A153" s="43">
        <v>153</v>
      </c>
      <c r="B153" s="43"/>
      <c r="C153" s="8" t="s">
        <v>517</v>
      </c>
      <c r="D153" s="8"/>
      <c r="E153" s="8"/>
      <c r="F153" s="379" t="s">
        <v>44</v>
      </c>
      <c r="G153" s="30"/>
      <c r="H153" s="30" t="s">
        <v>100</v>
      </c>
      <c r="I153" s="329"/>
      <c r="J153" s="33"/>
      <c r="K153" s="33"/>
      <c r="L153" s="33"/>
      <c r="M153" s="33"/>
      <c r="N153" s="59" t="s">
        <v>100</v>
      </c>
      <c r="O153" s="59"/>
      <c r="P153" s="59"/>
      <c r="Q153" s="59"/>
      <c r="R153" s="59"/>
      <c r="S153" s="59"/>
      <c r="T153" s="59"/>
      <c r="U153" s="59"/>
      <c r="V153" s="59"/>
      <c r="W153" s="49"/>
      <c r="X153" s="183"/>
    </row>
    <row r="154" spans="1:24">
      <c r="A154" s="43">
        <v>154</v>
      </c>
      <c r="B154" s="43"/>
      <c r="C154" s="8" t="s">
        <v>518</v>
      </c>
      <c r="D154" s="8"/>
      <c r="E154" s="8"/>
      <c r="F154" s="379" t="s">
        <v>44</v>
      </c>
      <c r="G154" s="30"/>
      <c r="H154" s="30" t="s">
        <v>100</v>
      </c>
      <c r="I154" s="329"/>
      <c r="J154" s="33"/>
      <c r="K154" s="33"/>
      <c r="L154" s="33"/>
      <c r="M154" s="33"/>
      <c r="N154" s="59" t="s">
        <v>100</v>
      </c>
      <c r="O154" s="59"/>
      <c r="P154" s="59"/>
      <c r="Q154" s="59"/>
      <c r="R154" s="59"/>
      <c r="S154" s="59"/>
      <c r="T154" s="59"/>
      <c r="U154" s="59"/>
      <c r="V154" s="59"/>
      <c r="W154" s="49"/>
      <c r="X154" s="183"/>
    </row>
    <row r="155" spans="1:24">
      <c r="A155" s="43">
        <v>155</v>
      </c>
      <c r="B155" s="43"/>
      <c r="C155" s="8"/>
      <c r="D155" s="8"/>
      <c r="E155" s="8"/>
      <c r="F155" s="14"/>
      <c r="G155" s="30"/>
      <c r="H155" s="30" t="s">
        <v>100</v>
      </c>
      <c r="I155" s="329"/>
      <c r="J155" s="33"/>
      <c r="K155" s="33"/>
      <c r="L155" s="33"/>
      <c r="M155" s="33"/>
      <c r="N155" s="59" t="s">
        <v>100</v>
      </c>
      <c r="O155" s="59"/>
      <c r="P155" s="59"/>
      <c r="Q155" s="59"/>
      <c r="R155" s="59"/>
      <c r="S155" s="59"/>
      <c r="T155" s="59"/>
      <c r="U155" s="59"/>
      <c r="V155" s="59"/>
      <c r="W155" s="49"/>
      <c r="X155" s="183"/>
    </row>
    <row r="156" spans="1:24">
      <c r="A156" s="43">
        <v>156</v>
      </c>
      <c r="B156" s="43"/>
      <c r="C156" s="8"/>
      <c r="D156" s="8"/>
      <c r="E156" s="8"/>
      <c r="F156" s="14"/>
      <c r="G156" s="30"/>
      <c r="H156" s="30" t="s">
        <v>100</v>
      </c>
      <c r="I156" s="329"/>
      <c r="J156" s="33"/>
      <c r="K156" s="33"/>
      <c r="L156" s="33"/>
      <c r="M156" s="33"/>
      <c r="N156" s="59" t="s">
        <v>100</v>
      </c>
      <c r="O156" s="59"/>
      <c r="P156" s="59"/>
      <c r="Q156" s="59"/>
      <c r="R156" s="59"/>
      <c r="S156" s="59"/>
      <c r="T156" s="59"/>
      <c r="U156" s="59"/>
      <c r="V156" s="59"/>
      <c r="W156" s="49"/>
      <c r="X156" s="183"/>
    </row>
    <row r="157" spans="1:24">
      <c r="A157" s="43">
        <v>157</v>
      </c>
      <c r="B157" s="43"/>
      <c r="C157" s="8"/>
      <c r="D157" s="8"/>
      <c r="E157" s="8"/>
      <c r="F157" s="14"/>
      <c r="G157" s="30"/>
      <c r="H157" s="30" t="s">
        <v>100</v>
      </c>
      <c r="I157" s="329"/>
      <c r="J157" s="33"/>
      <c r="K157" s="33"/>
      <c r="L157" s="33"/>
      <c r="M157" s="33"/>
      <c r="N157" s="59" t="s">
        <v>100</v>
      </c>
      <c r="O157" s="59"/>
      <c r="P157" s="59"/>
      <c r="Q157" s="59"/>
      <c r="R157" s="59"/>
      <c r="S157" s="59"/>
      <c r="T157" s="59"/>
      <c r="U157" s="59"/>
      <c r="V157" s="59"/>
      <c r="W157" s="49"/>
      <c r="X157" s="183"/>
    </row>
    <row r="158" spans="1:24">
      <c r="A158" s="43">
        <v>158</v>
      </c>
      <c r="B158" s="43"/>
      <c r="C158" s="8"/>
      <c r="D158" s="8"/>
      <c r="E158" s="8"/>
      <c r="F158" s="14"/>
      <c r="G158" s="30"/>
      <c r="H158" s="30" t="s">
        <v>100</v>
      </c>
      <c r="I158" s="329"/>
      <c r="J158" s="33"/>
      <c r="K158" s="33"/>
      <c r="L158" s="33"/>
      <c r="M158" s="33"/>
      <c r="N158" s="59" t="s">
        <v>100</v>
      </c>
      <c r="O158" s="59"/>
      <c r="P158" s="59"/>
      <c r="Q158" s="59"/>
      <c r="R158" s="59"/>
      <c r="S158" s="59"/>
      <c r="T158" s="59"/>
      <c r="U158" s="59"/>
      <c r="V158" s="59"/>
      <c r="W158" s="49"/>
      <c r="X158" s="183"/>
    </row>
    <row r="159" spans="1:24">
      <c r="A159" s="43">
        <v>159</v>
      </c>
      <c r="B159" s="43"/>
      <c r="C159" s="8"/>
      <c r="D159" s="8"/>
      <c r="E159" s="8"/>
      <c r="F159" s="14"/>
      <c r="G159" s="30"/>
      <c r="H159" s="30" t="s">
        <v>100</v>
      </c>
      <c r="I159" s="329"/>
      <c r="J159" s="33"/>
      <c r="K159" s="33"/>
      <c r="L159" s="33"/>
      <c r="M159" s="33"/>
      <c r="N159" s="59" t="s">
        <v>100</v>
      </c>
      <c r="O159" s="59"/>
      <c r="P159" s="59"/>
      <c r="Q159" s="59"/>
      <c r="R159" s="59"/>
      <c r="S159" s="59"/>
      <c r="T159" s="59"/>
      <c r="U159" s="59"/>
      <c r="V159" s="59"/>
      <c r="W159" s="49"/>
      <c r="X159" s="183"/>
    </row>
    <row r="160" spans="1:24">
      <c r="A160" s="43">
        <v>160</v>
      </c>
      <c r="B160" s="43"/>
      <c r="C160" s="8"/>
      <c r="D160" s="8"/>
      <c r="E160" s="8"/>
      <c r="F160" s="14"/>
      <c r="G160" s="30"/>
      <c r="H160" s="30" t="s">
        <v>100</v>
      </c>
      <c r="I160" s="329"/>
      <c r="J160" s="33"/>
      <c r="K160" s="33"/>
      <c r="L160" s="33"/>
      <c r="M160" s="33"/>
      <c r="N160" s="59" t="s">
        <v>100</v>
      </c>
      <c r="O160" s="59"/>
      <c r="P160" s="59"/>
      <c r="Q160" s="59"/>
      <c r="R160" s="59"/>
      <c r="S160" s="59"/>
      <c r="T160" s="59"/>
      <c r="U160" s="59"/>
      <c r="V160" s="59"/>
      <c r="W160" s="49"/>
      <c r="X160" s="183"/>
    </row>
    <row r="161" spans="1:24">
      <c r="A161" s="43">
        <v>161</v>
      </c>
      <c r="B161" s="43"/>
      <c r="C161" s="8"/>
      <c r="D161" s="8"/>
      <c r="E161" s="8"/>
      <c r="F161" s="14"/>
      <c r="G161" s="30"/>
      <c r="H161" s="30" t="s">
        <v>100</v>
      </c>
      <c r="I161" s="329"/>
      <c r="J161" s="33"/>
      <c r="K161" s="33"/>
      <c r="L161" s="33"/>
      <c r="M161" s="33"/>
      <c r="N161" s="59" t="s">
        <v>100</v>
      </c>
      <c r="O161" s="59"/>
      <c r="P161" s="59"/>
      <c r="Q161" s="59"/>
      <c r="R161" s="59"/>
      <c r="S161" s="59"/>
      <c r="T161" s="59"/>
      <c r="U161" s="59"/>
      <c r="V161" s="59"/>
      <c r="W161" s="49"/>
      <c r="X161" s="183"/>
    </row>
    <row r="162" spans="1:24">
      <c r="A162" s="43">
        <v>162</v>
      </c>
      <c r="B162" s="43"/>
      <c r="C162" s="8"/>
      <c r="D162" s="8"/>
      <c r="E162" s="8"/>
      <c r="F162" s="14"/>
      <c r="G162" s="30"/>
      <c r="H162" s="30" t="s">
        <v>100</v>
      </c>
      <c r="I162" s="329"/>
      <c r="J162" s="33"/>
      <c r="K162" s="33"/>
      <c r="L162" s="33"/>
      <c r="M162" s="33"/>
      <c r="N162" s="59" t="s">
        <v>100</v>
      </c>
      <c r="O162" s="59"/>
      <c r="P162" s="59"/>
      <c r="Q162" s="59"/>
      <c r="R162" s="59"/>
      <c r="S162" s="59"/>
      <c r="T162" s="59"/>
      <c r="U162" s="59"/>
      <c r="V162" s="59"/>
      <c r="W162" s="49"/>
      <c r="X162" s="183"/>
    </row>
    <row r="163" spans="1:24">
      <c r="A163" s="43">
        <v>163</v>
      </c>
      <c r="B163" s="43"/>
      <c r="C163" s="8"/>
      <c r="D163" s="8"/>
      <c r="E163" s="8"/>
      <c r="F163" s="14"/>
      <c r="G163" s="30"/>
      <c r="H163" s="30" t="s">
        <v>100</v>
      </c>
      <c r="I163" s="329"/>
      <c r="J163" s="33"/>
      <c r="K163" s="33"/>
      <c r="L163" s="33"/>
      <c r="M163" s="33"/>
      <c r="N163" s="59" t="s">
        <v>100</v>
      </c>
      <c r="O163" s="59"/>
      <c r="P163" s="59"/>
      <c r="Q163" s="59"/>
      <c r="R163" s="59"/>
      <c r="S163" s="59"/>
      <c r="T163" s="59"/>
      <c r="U163" s="59"/>
      <c r="V163" s="59"/>
      <c r="W163" s="49"/>
      <c r="X163" s="183"/>
    </row>
    <row r="164" spans="1:24">
      <c r="A164" s="43">
        <v>164</v>
      </c>
      <c r="B164" s="43"/>
      <c r="C164" s="8"/>
      <c r="D164" s="8"/>
      <c r="E164" s="8"/>
      <c r="F164" s="14"/>
      <c r="G164" s="30"/>
      <c r="H164" s="30" t="s">
        <v>100</v>
      </c>
      <c r="I164" s="329"/>
      <c r="J164" s="33"/>
      <c r="K164" s="33"/>
      <c r="L164" s="33"/>
      <c r="M164" s="33"/>
      <c r="N164" s="59" t="s">
        <v>100</v>
      </c>
      <c r="O164" s="59"/>
      <c r="P164" s="59"/>
      <c r="Q164" s="59"/>
      <c r="R164" s="59"/>
      <c r="S164" s="59"/>
      <c r="T164" s="59"/>
      <c r="U164" s="59"/>
      <c r="V164" s="59"/>
      <c r="W164" s="49"/>
      <c r="X164" s="183"/>
    </row>
    <row r="165" spans="1:24">
      <c r="A165" s="43">
        <v>165</v>
      </c>
      <c r="B165" s="43"/>
      <c r="C165" s="8"/>
      <c r="D165" s="8"/>
      <c r="E165" s="8"/>
      <c r="F165" s="14"/>
      <c r="G165" s="30"/>
      <c r="H165" s="30" t="s">
        <v>100</v>
      </c>
      <c r="I165" s="329"/>
      <c r="J165" s="33"/>
      <c r="K165" s="33"/>
      <c r="L165" s="33"/>
      <c r="M165" s="33"/>
      <c r="N165" s="59" t="s">
        <v>100</v>
      </c>
      <c r="O165" s="59"/>
      <c r="P165" s="59"/>
      <c r="Q165" s="59"/>
      <c r="R165" s="59"/>
      <c r="S165" s="59"/>
      <c r="T165" s="59"/>
      <c r="U165" s="59"/>
      <c r="V165" s="59"/>
      <c r="W165" s="49"/>
      <c r="X165" s="183"/>
    </row>
    <row r="166" spans="1:24">
      <c r="A166" s="43">
        <v>166</v>
      </c>
      <c r="B166" s="43"/>
      <c r="C166" s="8"/>
      <c r="D166" s="8"/>
      <c r="E166" s="8"/>
      <c r="F166" s="14"/>
      <c r="G166" s="30"/>
      <c r="H166" s="30" t="s">
        <v>100</v>
      </c>
      <c r="I166" s="329"/>
      <c r="J166" s="33"/>
      <c r="K166" s="33"/>
      <c r="L166" s="33"/>
      <c r="M166" s="33"/>
      <c r="N166" s="59" t="s">
        <v>100</v>
      </c>
      <c r="O166" s="59"/>
      <c r="P166" s="59"/>
      <c r="Q166" s="59"/>
      <c r="R166" s="59"/>
      <c r="S166" s="59"/>
      <c r="T166" s="59"/>
      <c r="U166" s="59"/>
      <c r="V166" s="59"/>
      <c r="W166" s="49"/>
      <c r="X166" s="183"/>
    </row>
    <row r="167" spans="1:24">
      <c r="A167" s="43">
        <v>167</v>
      </c>
      <c r="B167" s="43"/>
      <c r="C167" s="8"/>
      <c r="D167" s="8"/>
      <c r="E167" s="8"/>
      <c r="F167" s="14"/>
      <c r="G167" s="30"/>
      <c r="H167" s="30" t="s">
        <v>100</v>
      </c>
      <c r="I167" s="329"/>
      <c r="J167" s="33"/>
      <c r="K167" s="33"/>
      <c r="L167" s="33"/>
      <c r="M167" s="33"/>
      <c r="N167" s="59" t="s">
        <v>100</v>
      </c>
      <c r="O167" s="59"/>
      <c r="P167" s="59"/>
      <c r="Q167" s="59"/>
      <c r="R167" s="59"/>
      <c r="S167" s="59"/>
      <c r="T167" s="59"/>
      <c r="U167" s="59"/>
      <c r="V167" s="59"/>
      <c r="W167" s="49"/>
      <c r="X167" s="183"/>
    </row>
    <row r="168" spans="1:24">
      <c r="A168" s="43">
        <v>168</v>
      </c>
      <c r="B168" s="43"/>
      <c r="C168" s="8"/>
      <c r="D168" s="8"/>
      <c r="E168" s="8"/>
      <c r="F168" s="14"/>
      <c r="G168" s="30"/>
      <c r="H168" s="30" t="s">
        <v>100</v>
      </c>
      <c r="I168" s="329"/>
      <c r="J168" s="33"/>
      <c r="K168" s="33"/>
      <c r="L168" s="33"/>
      <c r="M168" s="33"/>
      <c r="N168" s="59" t="s">
        <v>100</v>
      </c>
      <c r="O168" s="59"/>
      <c r="P168" s="59"/>
      <c r="Q168" s="59"/>
      <c r="R168" s="59"/>
      <c r="S168" s="59"/>
      <c r="T168" s="59"/>
      <c r="U168" s="59"/>
      <c r="V168" s="59"/>
      <c r="W168" s="49"/>
      <c r="X168" s="183"/>
    </row>
    <row r="169" spans="1:24">
      <c r="A169" s="43">
        <v>169</v>
      </c>
      <c r="B169" s="43"/>
      <c r="C169" s="8"/>
      <c r="D169" s="8"/>
      <c r="E169" s="8"/>
      <c r="F169" s="14"/>
      <c r="G169" s="30"/>
      <c r="H169" s="30" t="s">
        <v>100</v>
      </c>
      <c r="I169" s="329"/>
      <c r="J169" s="33"/>
      <c r="K169" s="33"/>
      <c r="L169" s="33"/>
      <c r="M169" s="33"/>
      <c r="N169" s="59" t="s">
        <v>100</v>
      </c>
      <c r="O169" s="59"/>
      <c r="P169" s="59"/>
      <c r="Q169" s="59"/>
      <c r="R169" s="59"/>
      <c r="S169" s="59"/>
      <c r="T169" s="59"/>
      <c r="U169" s="59"/>
      <c r="V169" s="59"/>
      <c r="W169" s="49"/>
      <c r="X169" s="183"/>
    </row>
    <row r="170" spans="1:24">
      <c r="A170" s="43">
        <v>170</v>
      </c>
      <c r="B170" s="43"/>
      <c r="C170" s="8"/>
      <c r="D170" s="8"/>
      <c r="E170" s="8"/>
      <c r="F170" s="14"/>
      <c r="G170" s="30"/>
      <c r="H170" s="30" t="s">
        <v>100</v>
      </c>
      <c r="I170" s="329"/>
      <c r="J170" s="33"/>
      <c r="K170" s="33"/>
      <c r="L170" s="33"/>
      <c r="M170" s="33"/>
      <c r="N170" s="59" t="s">
        <v>100</v>
      </c>
      <c r="O170" s="59"/>
      <c r="P170" s="59"/>
      <c r="Q170" s="59"/>
      <c r="R170" s="59"/>
      <c r="S170" s="59"/>
      <c r="T170" s="59"/>
      <c r="U170" s="59"/>
      <c r="V170" s="59"/>
      <c r="W170" s="49"/>
      <c r="X170" s="183"/>
    </row>
    <row r="171" spans="1:24">
      <c r="A171" s="43">
        <v>171</v>
      </c>
      <c r="B171" s="43"/>
      <c r="C171" s="8"/>
      <c r="D171" s="8"/>
      <c r="E171" s="8"/>
      <c r="F171" s="14"/>
      <c r="G171" s="30"/>
      <c r="H171" s="30" t="s">
        <v>100</v>
      </c>
      <c r="I171" s="329"/>
      <c r="J171" s="33"/>
      <c r="K171" s="33"/>
      <c r="L171" s="33"/>
      <c r="M171" s="33"/>
      <c r="N171" s="59" t="s">
        <v>100</v>
      </c>
      <c r="O171" s="59"/>
      <c r="P171" s="59"/>
      <c r="Q171" s="59"/>
      <c r="R171" s="59"/>
      <c r="S171" s="59"/>
      <c r="T171" s="59"/>
      <c r="U171" s="59"/>
      <c r="V171" s="59"/>
      <c r="W171" s="49"/>
      <c r="X171" s="183"/>
    </row>
    <row r="172" spans="1:24">
      <c r="A172" s="43">
        <v>172</v>
      </c>
      <c r="B172" s="43"/>
      <c r="C172" s="8"/>
      <c r="D172" s="8"/>
      <c r="E172" s="8"/>
      <c r="F172" s="14"/>
      <c r="G172" s="30"/>
      <c r="H172" s="30" t="s">
        <v>100</v>
      </c>
      <c r="I172" s="329"/>
      <c r="J172" s="33"/>
      <c r="K172" s="33"/>
      <c r="L172" s="33"/>
      <c r="M172" s="33"/>
      <c r="N172" s="59" t="s">
        <v>100</v>
      </c>
      <c r="O172" s="59"/>
      <c r="P172" s="59"/>
      <c r="Q172" s="59"/>
      <c r="R172" s="59"/>
      <c r="S172" s="59"/>
      <c r="T172" s="59"/>
      <c r="U172" s="59"/>
      <c r="V172" s="59"/>
      <c r="W172" s="49"/>
      <c r="X172" s="183"/>
    </row>
    <row r="173" spans="1:24">
      <c r="A173" s="43">
        <v>173</v>
      </c>
      <c r="B173" s="43"/>
      <c r="C173" s="8"/>
      <c r="D173" s="8"/>
      <c r="E173" s="8"/>
      <c r="F173" s="14"/>
      <c r="G173" s="30"/>
      <c r="H173" s="30" t="s">
        <v>100</v>
      </c>
      <c r="I173" s="329"/>
      <c r="J173" s="33"/>
      <c r="K173" s="33"/>
      <c r="L173" s="33"/>
      <c r="M173" s="33"/>
      <c r="N173" s="59" t="s">
        <v>100</v>
      </c>
      <c r="O173" s="59"/>
      <c r="P173" s="59"/>
      <c r="Q173" s="59"/>
      <c r="R173" s="59"/>
      <c r="S173" s="59"/>
      <c r="T173" s="59"/>
      <c r="U173" s="59"/>
      <c r="V173" s="59"/>
      <c r="W173" s="49"/>
      <c r="X173" s="183"/>
    </row>
    <row r="174" spans="1:24">
      <c r="A174" s="43">
        <v>174</v>
      </c>
      <c r="B174" s="43"/>
      <c r="C174" s="8"/>
      <c r="D174" s="8"/>
      <c r="E174" s="8"/>
      <c r="F174" s="14"/>
      <c r="G174" s="30"/>
      <c r="H174" s="30" t="s">
        <v>100</v>
      </c>
      <c r="I174" s="329"/>
      <c r="J174" s="33"/>
      <c r="K174" s="33"/>
      <c r="L174" s="33"/>
      <c r="M174" s="33"/>
      <c r="N174" s="59" t="s">
        <v>100</v>
      </c>
      <c r="O174" s="59"/>
      <c r="P174" s="59"/>
      <c r="Q174" s="59"/>
      <c r="R174" s="59"/>
      <c r="S174" s="59"/>
      <c r="T174" s="59"/>
      <c r="U174" s="59"/>
      <c r="V174" s="59"/>
      <c r="W174" s="49"/>
      <c r="X174" s="183"/>
    </row>
    <row r="175" spans="1:24">
      <c r="A175" s="43">
        <v>175</v>
      </c>
      <c r="B175" s="43"/>
      <c r="C175" s="8"/>
      <c r="D175" s="8"/>
      <c r="E175" s="8"/>
      <c r="F175" s="14"/>
      <c r="G175" s="30"/>
      <c r="H175" s="30" t="s">
        <v>100</v>
      </c>
      <c r="I175" s="329"/>
      <c r="J175" s="33"/>
      <c r="K175" s="33"/>
      <c r="L175" s="33"/>
      <c r="M175" s="33"/>
      <c r="N175" s="59" t="s">
        <v>100</v>
      </c>
      <c r="O175" s="59"/>
      <c r="P175" s="59"/>
      <c r="Q175" s="59"/>
      <c r="R175" s="59"/>
      <c r="S175" s="59"/>
      <c r="T175" s="59"/>
      <c r="U175" s="59"/>
      <c r="V175" s="59"/>
      <c r="W175" s="49"/>
      <c r="X175" s="183"/>
    </row>
    <row r="176" spans="1:24">
      <c r="A176" s="43">
        <v>176</v>
      </c>
      <c r="B176" s="43"/>
      <c r="C176" s="8"/>
      <c r="D176" s="8"/>
      <c r="E176" s="8"/>
      <c r="F176" s="14"/>
      <c r="G176" s="30"/>
      <c r="H176" s="30" t="s">
        <v>100</v>
      </c>
      <c r="I176" s="329"/>
      <c r="J176" s="33"/>
      <c r="K176" s="33"/>
      <c r="L176" s="33"/>
      <c r="M176" s="33"/>
      <c r="N176" s="59" t="s">
        <v>100</v>
      </c>
      <c r="O176" s="59"/>
      <c r="P176" s="59"/>
      <c r="Q176" s="59"/>
      <c r="R176" s="59"/>
      <c r="S176" s="59"/>
      <c r="T176" s="59"/>
      <c r="U176" s="59"/>
      <c r="V176" s="59"/>
      <c r="W176" s="49"/>
      <c r="X176" s="183"/>
    </row>
    <row r="177" spans="1:24">
      <c r="A177" s="43">
        <v>177</v>
      </c>
      <c r="B177" s="43"/>
      <c r="C177" s="8"/>
      <c r="D177" s="8"/>
      <c r="E177" s="8"/>
      <c r="F177" s="14"/>
      <c r="G177" s="30"/>
      <c r="H177" s="30" t="s">
        <v>100</v>
      </c>
      <c r="I177" s="329"/>
      <c r="J177" s="33"/>
      <c r="K177" s="33"/>
      <c r="L177" s="33"/>
      <c r="M177" s="33"/>
      <c r="N177" s="59" t="s">
        <v>100</v>
      </c>
      <c r="O177" s="59"/>
      <c r="P177" s="59"/>
      <c r="Q177" s="59"/>
      <c r="R177" s="59"/>
      <c r="S177" s="59"/>
      <c r="T177" s="59"/>
      <c r="U177" s="59"/>
      <c r="V177" s="59"/>
      <c r="W177" s="49"/>
      <c r="X177" s="183"/>
    </row>
    <row r="178" spans="1:24">
      <c r="A178" s="43">
        <v>178</v>
      </c>
      <c r="B178" s="43"/>
      <c r="C178" s="8"/>
      <c r="D178" s="8"/>
      <c r="E178" s="8"/>
      <c r="F178" s="14" t="s">
        <v>100</v>
      </c>
      <c r="G178" s="30" t="s">
        <v>100</v>
      </c>
      <c r="H178" s="30" t="s">
        <v>100</v>
      </c>
      <c r="I178" s="329"/>
      <c r="J178" s="33"/>
      <c r="K178" s="33"/>
      <c r="L178" s="33"/>
      <c r="M178" s="33"/>
      <c r="N178" s="59" t="s">
        <v>100</v>
      </c>
      <c r="O178" s="59"/>
      <c r="P178" s="59"/>
      <c r="Q178" s="59"/>
      <c r="R178" s="59"/>
      <c r="S178" s="59"/>
      <c r="T178" s="59"/>
      <c r="U178" s="59"/>
      <c r="V178" s="59"/>
      <c r="W178" s="49"/>
      <c r="X178" s="183"/>
    </row>
    <row r="179" spans="1:24">
      <c r="A179" s="43">
        <v>179</v>
      </c>
      <c r="B179" s="43"/>
      <c r="C179" s="8"/>
      <c r="D179" s="8"/>
      <c r="E179" s="8"/>
      <c r="F179" s="14" t="s">
        <v>100</v>
      </c>
      <c r="G179" s="30" t="s">
        <v>100</v>
      </c>
      <c r="H179" s="30" t="s">
        <v>100</v>
      </c>
      <c r="I179" s="329"/>
      <c r="J179" s="33"/>
      <c r="K179" s="33"/>
      <c r="L179" s="33"/>
      <c r="M179" s="33"/>
      <c r="N179" s="59" t="s">
        <v>100</v>
      </c>
      <c r="O179" s="59"/>
      <c r="P179" s="59"/>
      <c r="Q179" s="59"/>
      <c r="R179" s="59"/>
      <c r="S179" s="59"/>
      <c r="T179" s="59"/>
      <c r="U179" s="59"/>
      <c r="V179" s="59"/>
      <c r="W179" s="49"/>
      <c r="X179" s="183"/>
    </row>
    <row r="180" spans="1:24">
      <c r="A180" s="43">
        <v>180</v>
      </c>
      <c r="B180" s="43"/>
      <c r="C180" s="8"/>
      <c r="D180" s="8"/>
      <c r="E180" s="8"/>
      <c r="F180" s="14" t="s">
        <v>100</v>
      </c>
      <c r="G180" s="30" t="s">
        <v>100</v>
      </c>
      <c r="H180" s="30" t="s">
        <v>100</v>
      </c>
      <c r="I180" s="329"/>
      <c r="J180" s="33"/>
      <c r="K180" s="33"/>
      <c r="L180" s="33"/>
      <c r="M180" s="33"/>
      <c r="N180" s="59" t="s">
        <v>100</v>
      </c>
      <c r="O180" s="49"/>
      <c r="P180" s="49"/>
      <c r="Q180" s="49"/>
      <c r="R180" s="49"/>
      <c r="S180" s="49"/>
      <c r="T180" s="49"/>
      <c r="U180" s="49"/>
      <c r="V180" s="49"/>
      <c r="W180" s="49"/>
      <c r="X180" s="183"/>
    </row>
    <row r="181" spans="1:24">
      <c r="A181" s="43">
        <v>181</v>
      </c>
      <c r="B181" s="43"/>
      <c r="C181" s="8"/>
      <c r="D181" s="8"/>
      <c r="E181" s="8"/>
      <c r="F181" s="14" t="s">
        <v>100</v>
      </c>
      <c r="G181" s="30" t="s">
        <v>100</v>
      </c>
      <c r="H181" s="30" t="s">
        <v>100</v>
      </c>
      <c r="I181" s="329"/>
      <c r="J181" s="33"/>
      <c r="K181" s="33"/>
      <c r="L181" s="33"/>
      <c r="M181" s="33"/>
      <c r="N181" s="59" t="s">
        <v>100</v>
      </c>
      <c r="O181" s="49"/>
      <c r="P181" s="49"/>
      <c r="Q181" s="49"/>
      <c r="R181" s="49"/>
      <c r="S181" s="49"/>
      <c r="T181" s="49"/>
      <c r="U181" s="49"/>
      <c r="V181" s="49"/>
      <c r="W181" s="49"/>
      <c r="X181" s="183"/>
    </row>
    <row r="182" spans="1:24">
      <c r="A182" s="43">
        <v>182</v>
      </c>
      <c r="B182" s="43"/>
      <c r="C182" s="8"/>
      <c r="D182" s="8"/>
      <c r="E182" s="8"/>
      <c r="F182" s="14" t="s">
        <v>100</v>
      </c>
      <c r="G182" s="30" t="s">
        <v>100</v>
      </c>
      <c r="H182" s="30" t="s">
        <v>100</v>
      </c>
      <c r="I182" s="329"/>
      <c r="J182" s="33"/>
      <c r="K182" s="33"/>
      <c r="L182" s="33"/>
      <c r="M182" s="33"/>
      <c r="N182" s="59" t="s">
        <v>100</v>
      </c>
      <c r="O182" s="49"/>
      <c r="P182" s="49"/>
      <c r="Q182" s="49"/>
      <c r="R182" s="49"/>
      <c r="S182" s="49"/>
      <c r="T182" s="49"/>
      <c r="U182" s="49"/>
      <c r="V182" s="49"/>
      <c r="W182" s="49"/>
      <c r="X182" s="183"/>
    </row>
    <row r="183" spans="1:24">
      <c r="A183" s="43">
        <v>183</v>
      </c>
      <c r="B183" s="43"/>
      <c r="C183" s="8"/>
      <c r="D183" s="8"/>
      <c r="E183" s="8"/>
      <c r="F183" s="14" t="s">
        <v>100</v>
      </c>
      <c r="G183" s="30" t="s">
        <v>100</v>
      </c>
      <c r="H183" s="30" t="s">
        <v>100</v>
      </c>
      <c r="I183" s="329"/>
      <c r="J183" s="33"/>
      <c r="K183" s="33"/>
      <c r="L183" s="33"/>
      <c r="M183" s="33"/>
      <c r="N183" s="59" t="s">
        <v>100</v>
      </c>
      <c r="O183" s="49"/>
      <c r="P183" s="49"/>
      <c r="Q183" s="49"/>
      <c r="R183" s="49"/>
      <c r="S183" s="49"/>
      <c r="T183" s="49"/>
      <c r="U183" s="49"/>
      <c r="V183" s="49"/>
      <c r="W183" s="49"/>
      <c r="X183" s="183"/>
    </row>
    <row r="184" spans="1:24">
      <c r="A184" s="43">
        <v>184</v>
      </c>
      <c r="B184" s="43"/>
      <c r="C184" s="8"/>
      <c r="D184" s="8"/>
      <c r="E184" s="8"/>
      <c r="F184" s="14" t="s">
        <v>100</v>
      </c>
      <c r="G184" s="30" t="s">
        <v>100</v>
      </c>
      <c r="H184" s="30" t="s">
        <v>100</v>
      </c>
      <c r="I184" s="329"/>
      <c r="J184" s="33"/>
      <c r="K184" s="33"/>
      <c r="L184" s="33"/>
      <c r="M184" s="33"/>
      <c r="N184" s="59" t="s">
        <v>100</v>
      </c>
      <c r="O184" s="49"/>
      <c r="P184" s="49"/>
      <c r="Q184" s="49"/>
      <c r="R184" s="49"/>
      <c r="S184" s="49"/>
      <c r="T184" s="49"/>
      <c r="U184" s="49"/>
      <c r="V184" s="49"/>
      <c r="W184" s="49"/>
      <c r="X184" s="183"/>
    </row>
    <row r="185" spans="1:24">
      <c r="A185" s="43">
        <v>185</v>
      </c>
      <c r="B185" s="43"/>
      <c r="C185" s="8"/>
      <c r="D185" s="8"/>
      <c r="E185" s="8"/>
      <c r="F185" s="14" t="s">
        <v>100</v>
      </c>
      <c r="G185" s="30" t="s">
        <v>100</v>
      </c>
      <c r="H185" s="30" t="s">
        <v>100</v>
      </c>
      <c r="I185" s="329"/>
      <c r="J185" s="33"/>
      <c r="K185" s="33"/>
      <c r="L185" s="33"/>
      <c r="M185" s="33"/>
      <c r="N185" s="59" t="s">
        <v>100</v>
      </c>
      <c r="O185" s="49"/>
      <c r="P185" s="49"/>
      <c r="Q185" s="49"/>
      <c r="R185" s="49"/>
      <c r="S185" s="49"/>
      <c r="T185" s="49"/>
      <c r="U185" s="49"/>
      <c r="V185" s="49"/>
      <c r="W185" s="49"/>
      <c r="X185" s="183"/>
    </row>
    <row r="186" spans="1:24">
      <c r="A186" s="43">
        <v>186</v>
      </c>
      <c r="B186" s="43"/>
      <c r="C186" s="8"/>
      <c r="D186" s="8"/>
      <c r="E186" s="8"/>
      <c r="F186" s="14" t="s">
        <v>100</v>
      </c>
      <c r="G186" s="30" t="s">
        <v>100</v>
      </c>
      <c r="H186" s="30" t="s">
        <v>100</v>
      </c>
      <c r="I186" s="329"/>
      <c r="J186" s="33"/>
      <c r="K186" s="33"/>
      <c r="L186" s="33"/>
      <c r="M186" s="33"/>
      <c r="N186" s="59" t="s">
        <v>100</v>
      </c>
      <c r="O186" s="49"/>
      <c r="P186" s="49"/>
      <c r="Q186" s="49"/>
      <c r="R186" s="49"/>
      <c r="S186" s="49"/>
      <c r="T186" s="49"/>
      <c r="U186" s="49"/>
      <c r="V186" s="49"/>
      <c r="W186" s="49"/>
      <c r="X186" s="183"/>
    </row>
    <row r="187" spans="1:24">
      <c r="A187" s="43">
        <v>187</v>
      </c>
      <c r="B187" s="43"/>
      <c r="C187" s="8"/>
      <c r="D187" s="8"/>
      <c r="E187" s="8"/>
      <c r="F187" s="14" t="s">
        <v>100</v>
      </c>
      <c r="G187" s="30" t="s">
        <v>100</v>
      </c>
      <c r="H187" s="30" t="s">
        <v>100</v>
      </c>
      <c r="I187" s="329"/>
      <c r="J187" s="33"/>
      <c r="K187" s="33"/>
      <c r="L187" s="33"/>
      <c r="M187" s="33"/>
      <c r="N187" s="59" t="s">
        <v>100</v>
      </c>
      <c r="O187" s="49"/>
      <c r="P187" s="49"/>
      <c r="Q187" s="49"/>
      <c r="R187" s="49"/>
      <c r="S187" s="49"/>
      <c r="T187" s="49"/>
      <c r="U187" s="49"/>
      <c r="V187" s="49"/>
      <c r="W187" s="49"/>
      <c r="X187" s="183"/>
    </row>
    <row r="188" spans="1:24">
      <c r="A188" s="43">
        <v>188</v>
      </c>
      <c r="B188" s="43"/>
      <c r="C188" s="8"/>
      <c r="D188" s="8"/>
      <c r="E188" s="8"/>
      <c r="F188" s="14" t="s">
        <v>100</v>
      </c>
      <c r="G188" s="30" t="s">
        <v>100</v>
      </c>
      <c r="H188" s="30" t="s">
        <v>100</v>
      </c>
      <c r="I188" s="329"/>
      <c r="J188" s="33"/>
      <c r="K188" s="33"/>
      <c r="L188" s="33"/>
      <c r="M188" s="33"/>
      <c r="N188" s="59" t="s">
        <v>100</v>
      </c>
      <c r="O188" s="49"/>
      <c r="P188" s="49"/>
      <c r="Q188" s="49"/>
      <c r="R188" s="49"/>
      <c r="S188" s="49"/>
      <c r="T188" s="49"/>
      <c r="U188" s="49"/>
      <c r="V188" s="49"/>
      <c r="W188" s="49"/>
      <c r="X188" s="183"/>
    </row>
    <row r="189" spans="1:24">
      <c r="A189" s="43">
        <v>189</v>
      </c>
      <c r="B189" s="43"/>
      <c r="C189" s="8"/>
      <c r="D189" s="8"/>
      <c r="E189" s="8"/>
      <c r="F189" s="14" t="s">
        <v>100</v>
      </c>
      <c r="G189" s="30" t="s">
        <v>100</v>
      </c>
      <c r="H189" s="30" t="s">
        <v>100</v>
      </c>
      <c r="I189" s="329"/>
      <c r="J189" s="33"/>
      <c r="K189" s="33"/>
      <c r="L189" s="33"/>
      <c r="M189" s="33"/>
      <c r="N189" s="59" t="s">
        <v>100</v>
      </c>
      <c r="O189" s="49"/>
      <c r="P189" s="49"/>
      <c r="Q189" s="49"/>
      <c r="R189" s="49"/>
      <c r="S189" s="49"/>
      <c r="T189" s="49"/>
      <c r="U189" s="49"/>
      <c r="V189" s="49"/>
      <c r="W189" s="49"/>
      <c r="X189" s="183"/>
    </row>
    <row r="190" spans="1:24">
      <c r="A190" s="43">
        <v>190</v>
      </c>
      <c r="B190" s="43"/>
      <c r="C190" s="8"/>
      <c r="D190" s="8"/>
      <c r="E190" s="8"/>
      <c r="F190" s="14" t="s">
        <v>100</v>
      </c>
      <c r="G190" s="30" t="s">
        <v>100</v>
      </c>
      <c r="H190" s="30" t="s">
        <v>100</v>
      </c>
      <c r="I190" s="329"/>
      <c r="J190" s="33"/>
      <c r="K190" s="33"/>
      <c r="L190" s="33"/>
      <c r="M190" s="33"/>
      <c r="N190" s="59" t="s">
        <v>100</v>
      </c>
      <c r="O190" s="49"/>
      <c r="P190" s="49"/>
      <c r="Q190" s="49"/>
      <c r="R190" s="49"/>
      <c r="S190" s="49"/>
      <c r="T190" s="49"/>
      <c r="U190" s="49"/>
      <c r="V190" s="49"/>
      <c r="W190" s="49"/>
      <c r="X190" s="183"/>
    </row>
    <row r="191" spans="1:24">
      <c r="A191" s="43">
        <v>191</v>
      </c>
      <c r="B191" s="43"/>
      <c r="C191" s="8"/>
      <c r="D191" s="8"/>
      <c r="E191" s="8"/>
      <c r="F191" s="14" t="s">
        <v>100</v>
      </c>
      <c r="G191" s="30" t="s">
        <v>100</v>
      </c>
      <c r="H191" s="30" t="s">
        <v>100</v>
      </c>
      <c r="I191" s="329"/>
      <c r="J191" s="33"/>
      <c r="K191" s="33"/>
      <c r="L191" s="33"/>
      <c r="M191" s="33"/>
      <c r="N191" s="59" t="s">
        <v>100</v>
      </c>
      <c r="O191" s="49"/>
      <c r="P191" s="49"/>
      <c r="Q191" s="49"/>
      <c r="R191" s="49"/>
      <c r="S191" s="49"/>
      <c r="T191" s="49"/>
      <c r="U191" s="49"/>
      <c r="V191" s="49"/>
      <c r="W191" s="49"/>
      <c r="X191" s="183"/>
    </row>
    <row r="192" spans="1:24">
      <c r="A192" s="43">
        <v>192</v>
      </c>
      <c r="B192" s="43"/>
      <c r="C192" s="8"/>
      <c r="D192" s="8"/>
      <c r="E192" s="8"/>
      <c r="F192" s="14" t="s">
        <v>100</v>
      </c>
      <c r="G192" s="30" t="s">
        <v>100</v>
      </c>
      <c r="H192" s="30" t="s">
        <v>100</v>
      </c>
      <c r="I192" s="329"/>
      <c r="J192" s="33"/>
      <c r="K192" s="33"/>
      <c r="L192" s="33"/>
      <c r="M192" s="33"/>
      <c r="N192" s="59" t="s">
        <v>100</v>
      </c>
      <c r="O192" s="49"/>
      <c r="P192" s="49"/>
      <c r="Q192" s="49"/>
      <c r="R192" s="49"/>
      <c r="S192" s="49"/>
      <c r="T192" s="49"/>
      <c r="U192" s="49"/>
      <c r="V192" s="49"/>
      <c r="W192" s="49"/>
      <c r="X192" s="183"/>
    </row>
    <row r="193" spans="1:24">
      <c r="A193" s="43">
        <v>193</v>
      </c>
      <c r="B193" s="43"/>
      <c r="C193" s="8"/>
      <c r="D193" s="8"/>
      <c r="E193" s="8"/>
      <c r="F193" s="14" t="s">
        <v>100</v>
      </c>
      <c r="G193" s="30" t="s">
        <v>100</v>
      </c>
      <c r="H193" s="30" t="s">
        <v>100</v>
      </c>
      <c r="I193" s="329"/>
      <c r="J193" s="33"/>
      <c r="K193" s="33"/>
      <c r="L193" s="33"/>
      <c r="M193" s="33"/>
      <c r="N193" s="59" t="s">
        <v>100</v>
      </c>
      <c r="O193" s="49"/>
      <c r="P193" s="49"/>
      <c r="Q193" s="49"/>
      <c r="R193" s="49"/>
      <c r="S193" s="49"/>
      <c r="T193" s="49"/>
      <c r="U193" s="49"/>
      <c r="V193" s="49"/>
      <c r="W193" s="49"/>
      <c r="X193" s="183"/>
    </row>
    <row r="194" spans="1:24">
      <c r="A194" s="43">
        <v>194</v>
      </c>
      <c r="B194" s="43"/>
      <c r="C194" s="8"/>
      <c r="D194" s="8"/>
      <c r="E194" s="8"/>
      <c r="F194" s="14" t="s">
        <v>100</v>
      </c>
      <c r="G194" s="30" t="s">
        <v>100</v>
      </c>
      <c r="H194" s="30" t="s">
        <v>100</v>
      </c>
      <c r="I194" s="329"/>
      <c r="J194" s="33"/>
      <c r="K194" s="33"/>
      <c r="L194" s="33"/>
      <c r="M194" s="33"/>
      <c r="N194" s="59" t="s">
        <v>100</v>
      </c>
      <c r="O194" s="49"/>
      <c r="P194" s="49"/>
      <c r="Q194" s="49"/>
      <c r="R194" s="49"/>
      <c r="S194" s="49"/>
      <c r="T194" s="49"/>
      <c r="U194" s="49"/>
      <c r="V194" s="49"/>
      <c r="W194" s="49"/>
      <c r="X194" s="183"/>
    </row>
    <row r="195" spans="1:24">
      <c r="A195" s="43">
        <v>195</v>
      </c>
      <c r="B195" s="43"/>
      <c r="C195" s="8"/>
      <c r="D195" s="8"/>
      <c r="E195" s="8"/>
      <c r="F195" s="14" t="s">
        <v>100</v>
      </c>
      <c r="G195" s="30" t="s">
        <v>100</v>
      </c>
      <c r="H195" s="30" t="s">
        <v>100</v>
      </c>
      <c r="I195" s="329"/>
      <c r="J195" s="33"/>
      <c r="K195" s="33"/>
      <c r="L195" s="33"/>
      <c r="M195" s="33"/>
      <c r="N195" s="59" t="s">
        <v>100</v>
      </c>
      <c r="O195" s="49"/>
      <c r="P195" s="49"/>
      <c r="Q195" s="49"/>
      <c r="R195" s="49"/>
      <c r="S195" s="49"/>
      <c r="T195" s="49"/>
      <c r="U195" s="49"/>
      <c r="V195" s="49"/>
      <c r="W195" s="49"/>
      <c r="X195" s="183"/>
    </row>
    <row r="196" spans="1:24">
      <c r="A196" s="43">
        <v>196</v>
      </c>
      <c r="B196" s="43"/>
      <c r="C196" s="8"/>
      <c r="D196" s="8"/>
      <c r="E196" s="8"/>
      <c r="F196" s="14" t="s">
        <v>100</v>
      </c>
      <c r="G196" s="30" t="s">
        <v>100</v>
      </c>
      <c r="H196" s="30" t="s">
        <v>100</v>
      </c>
      <c r="I196" s="329"/>
      <c r="J196" s="33"/>
      <c r="K196" s="33"/>
      <c r="L196" s="33"/>
      <c r="M196" s="33"/>
      <c r="N196" s="59" t="s">
        <v>100</v>
      </c>
      <c r="O196" s="49"/>
      <c r="P196" s="49"/>
      <c r="Q196" s="49"/>
      <c r="R196" s="49"/>
      <c r="S196" s="49"/>
      <c r="T196" s="49"/>
      <c r="U196" s="49"/>
      <c r="V196" s="49"/>
      <c r="W196" s="49"/>
      <c r="X196" s="183"/>
    </row>
    <row r="197" spans="1:24">
      <c r="A197" s="43">
        <v>197</v>
      </c>
      <c r="B197" s="43"/>
      <c r="C197" s="8"/>
      <c r="D197" s="8"/>
      <c r="E197" s="8"/>
      <c r="F197" s="14" t="s">
        <v>100</v>
      </c>
      <c r="G197" s="30" t="s">
        <v>100</v>
      </c>
      <c r="H197" s="30" t="s">
        <v>100</v>
      </c>
      <c r="I197" s="329"/>
      <c r="J197" s="33"/>
      <c r="K197" s="33"/>
      <c r="L197" s="33"/>
      <c r="M197" s="33"/>
      <c r="N197" s="59" t="s">
        <v>100</v>
      </c>
      <c r="O197" s="49"/>
      <c r="P197" s="49"/>
      <c r="Q197" s="49"/>
      <c r="R197" s="49"/>
      <c r="S197" s="49"/>
      <c r="T197" s="49"/>
      <c r="U197" s="49"/>
      <c r="V197" s="49"/>
      <c r="W197" s="49"/>
      <c r="X197" s="183"/>
    </row>
    <row r="198" spans="1:24">
      <c r="A198" s="43">
        <v>198</v>
      </c>
      <c r="B198" s="43"/>
      <c r="C198" s="8"/>
      <c r="D198" s="8"/>
      <c r="E198" s="8"/>
      <c r="F198" s="14" t="s">
        <v>100</v>
      </c>
      <c r="G198" s="30" t="s">
        <v>100</v>
      </c>
      <c r="H198" s="30" t="s">
        <v>100</v>
      </c>
      <c r="I198" s="329"/>
      <c r="J198" s="33"/>
      <c r="K198" s="33"/>
      <c r="L198" s="33"/>
      <c r="M198" s="33"/>
      <c r="N198" s="59" t="s">
        <v>100</v>
      </c>
      <c r="O198" s="49"/>
      <c r="P198" s="49"/>
      <c r="Q198" s="49"/>
      <c r="R198" s="49"/>
      <c r="S198" s="49"/>
      <c r="T198" s="49"/>
      <c r="U198" s="49"/>
      <c r="V198" s="49"/>
      <c r="W198" s="49"/>
      <c r="X198" s="183"/>
    </row>
    <row r="199" spans="1:24">
      <c r="A199" s="43">
        <v>199</v>
      </c>
      <c r="B199" s="43"/>
      <c r="C199" s="8"/>
      <c r="D199" s="8"/>
      <c r="E199" s="8"/>
      <c r="F199" s="14" t="s">
        <v>100</v>
      </c>
      <c r="G199" s="30" t="s">
        <v>100</v>
      </c>
      <c r="H199" s="30" t="s">
        <v>100</v>
      </c>
      <c r="I199" s="329"/>
      <c r="J199" s="33"/>
      <c r="K199" s="33"/>
      <c r="L199" s="33"/>
      <c r="M199" s="33"/>
      <c r="N199" s="59" t="s">
        <v>100</v>
      </c>
      <c r="O199" s="49"/>
      <c r="P199" s="49"/>
      <c r="Q199" s="49"/>
      <c r="R199" s="49"/>
      <c r="S199" s="49"/>
      <c r="T199" s="49"/>
      <c r="U199" s="49"/>
      <c r="V199" s="49"/>
      <c r="W199" s="49"/>
      <c r="X199" s="183"/>
    </row>
    <row r="200" spans="1:24">
      <c r="A200" s="43">
        <v>200</v>
      </c>
      <c r="B200" s="43"/>
      <c r="C200" s="8"/>
      <c r="D200" s="8"/>
      <c r="E200" s="8"/>
      <c r="F200" s="14" t="s">
        <v>100</v>
      </c>
      <c r="G200" s="30" t="s">
        <v>100</v>
      </c>
      <c r="H200" s="30" t="s">
        <v>100</v>
      </c>
      <c r="I200" s="329"/>
      <c r="J200" s="33"/>
      <c r="K200" s="33"/>
      <c r="L200" s="33"/>
      <c r="M200" s="33"/>
      <c r="N200" s="59" t="s">
        <v>100</v>
      </c>
      <c r="O200" s="49"/>
      <c r="P200" s="49"/>
      <c r="Q200" s="49"/>
      <c r="R200" s="49"/>
      <c r="S200" s="49"/>
      <c r="T200" s="49"/>
      <c r="U200" s="49"/>
      <c r="V200" s="49"/>
      <c r="W200" s="49"/>
      <c r="X200" s="183"/>
    </row>
    <row r="201" spans="1:24">
      <c r="A201" s="43">
        <v>201</v>
      </c>
      <c r="B201" s="43"/>
      <c r="C201" s="8"/>
      <c r="D201" s="8"/>
      <c r="E201" s="8"/>
      <c r="F201" s="14" t="s">
        <v>100</v>
      </c>
      <c r="G201" s="30" t="s">
        <v>100</v>
      </c>
      <c r="H201" s="30" t="s">
        <v>100</v>
      </c>
      <c r="I201" s="329"/>
      <c r="J201" s="33"/>
      <c r="K201" s="33"/>
      <c r="L201" s="33"/>
      <c r="M201" s="33"/>
      <c r="N201" s="59" t="s">
        <v>100</v>
      </c>
      <c r="O201" s="49"/>
      <c r="P201" s="49"/>
      <c r="Q201" s="49"/>
      <c r="R201" s="49"/>
      <c r="S201" s="49"/>
      <c r="T201" s="49"/>
      <c r="U201" s="49"/>
      <c r="V201" s="49"/>
      <c r="W201" s="49"/>
      <c r="X201" s="183"/>
    </row>
    <row r="202" spans="1:24">
      <c r="A202" s="43">
        <v>202</v>
      </c>
      <c r="B202" s="43"/>
      <c r="C202" s="8"/>
      <c r="D202" s="8"/>
      <c r="E202" s="8"/>
      <c r="F202" s="14" t="s">
        <v>100</v>
      </c>
      <c r="G202" s="30" t="s">
        <v>100</v>
      </c>
      <c r="H202" s="30" t="s">
        <v>100</v>
      </c>
      <c r="I202" s="329"/>
      <c r="J202" s="33"/>
      <c r="K202" s="33"/>
      <c r="L202" s="33"/>
      <c r="M202" s="33"/>
      <c r="N202" s="59" t="s">
        <v>100</v>
      </c>
      <c r="O202" s="49"/>
      <c r="P202" s="49"/>
      <c r="Q202" s="49"/>
      <c r="R202" s="49"/>
      <c r="S202" s="49"/>
      <c r="T202" s="49"/>
      <c r="U202" s="49"/>
      <c r="V202" s="49"/>
      <c r="W202" s="49"/>
      <c r="X202" s="183"/>
    </row>
    <row r="203" spans="1:24">
      <c r="A203" s="43">
        <v>203</v>
      </c>
      <c r="B203" s="43"/>
      <c r="C203" s="8"/>
      <c r="D203" s="8"/>
      <c r="E203" s="8"/>
      <c r="F203" s="14" t="s">
        <v>100</v>
      </c>
      <c r="G203" s="30" t="s">
        <v>100</v>
      </c>
      <c r="H203" s="30" t="s">
        <v>100</v>
      </c>
      <c r="I203" s="329"/>
      <c r="J203" s="33"/>
      <c r="K203" s="33"/>
      <c r="L203" s="33"/>
      <c r="M203" s="33"/>
      <c r="N203" s="59" t="s">
        <v>100</v>
      </c>
      <c r="O203" s="49"/>
      <c r="P203" s="49"/>
      <c r="Q203" s="49"/>
      <c r="R203" s="49"/>
      <c r="S203" s="49"/>
      <c r="T203" s="49"/>
      <c r="U203" s="49"/>
      <c r="V203" s="49"/>
      <c r="W203" s="49"/>
      <c r="X203" s="183"/>
    </row>
    <row r="204" spans="1:24">
      <c r="A204" s="43">
        <v>204</v>
      </c>
      <c r="B204" s="43"/>
      <c r="C204" s="8"/>
      <c r="D204" s="8"/>
      <c r="E204" s="8"/>
      <c r="F204" s="14" t="s">
        <v>100</v>
      </c>
      <c r="G204" s="30" t="s">
        <v>100</v>
      </c>
      <c r="H204" s="30" t="s">
        <v>100</v>
      </c>
      <c r="I204" s="329"/>
      <c r="J204" s="33"/>
      <c r="K204" s="33"/>
      <c r="L204" s="33"/>
      <c r="M204" s="33"/>
      <c r="N204" s="59" t="s">
        <v>100</v>
      </c>
      <c r="O204" s="49"/>
      <c r="P204" s="49"/>
      <c r="Q204" s="49"/>
      <c r="R204" s="49"/>
      <c r="S204" s="49"/>
      <c r="T204" s="49"/>
      <c r="U204" s="49"/>
      <c r="V204" s="49"/>
      <c r="W204" s="49"/>
      <c r="X204" s="183"/>
    </row>
    <row r="205" spans="1:24">
      <c r="A205" s="43">
        <v>205</v>
      </c>
      <c r="B205" s="43"/>
      <c r="C205" s="8"/>
      <c r="D205" s="8"/>
      <c r="E205" s="8"/>
      <c r="F205" s="14" t="s">
        <v>100</v>
      </c>
      <c r="G205" s="30" t="s">
        <v>100</v>
      </c>
      <c r="H205" s="30" t="s">
        <v>100</v>
      </c>
      <c r="I205" s="329"/>
      <c r="J205" s="33"/>
      <c r="K205" s="33"/>
      <c r="L205" s="33"/>
      <c r="M205" s="33"/>
      <c r="N205" s="59" t="s">
        <v>100</v>
      </c>
      <c r="O205" s="49"/>
      <c r="P205" s="49"/>
      <c r="Q205" s="49"/>
      <c r="R205" s="49"/>
      <c r="S205" s="49"/>
      <c r="T205" s="49"/>
      <c r="U205" s="49"/>
      <c r="V205" s="49"/>
      <c r="W205" s="49"/>
      <c r="X205" s="183"/>
    </row>
    <row r="206" spans="1:24">
      <c r="A206" s="43">
        <v>206</v>
      </c>
      <c r="B206" s="43"/>
      <c r="C206" s="8"/>
      <c r="D206" s="8"/>
      <c r="E206" s="8"/>
      <c r="F206" s="14" t="s">
        <v>100</v>
      </c>
      <c r="G206" s="30" t="s">
        <v>100</v>
      </c>
      <c r="H206" s="30" t="s">
        <v>100</v>
      </c>
      <c r="I206" s="329"/>
      <c r="J206" s="33"/>
      <c r="K206" s="33"/>
      <c r="L206" s="33"/>
      <c r="M206" s="33"/>
      <c r="N206" s="59" t="s">
        <v>100</v>
      </c>
      <c r="O206" s="49"/>
      <c r="P206" s="49"/>
      <c r="Q206" s="49"/>
      <c r="R206" s="49"/>
      <c r="S206" s="49"/>
      <c r="T206" s="49"/>
      <c r="U206" s="49"/>
      <c r="V206" s="49"/>
      <c r="W206" s="49"/>
      <c r="X206" s="183"/>
    </row>
    <row r="207" spans="1:24">
      <c r="A207" s="43">
        <v>207</v>
      </c>
      <c r="B207" s="43"/>
      <c r="C207" s="8"/>
      <c r="D207" s="8"/>
      <c r="E207" s="8"/>
      <c r="F207" s="14" t="s">
        <v>100</v>
      </c>
      <c r="G207" s="30" t="s">
        <v>100</v>
      </c>
      <c r="H207" s="30" t="s">
        <v>100</v>
      </c>
      <c r="I207" s="329"/>
      <c r="J207" s="33"/>
      <c r="K207" s="33"/>
      <c r="L207" s="33"/>
      <c r="M207" s="33"/>
      <c r="N207" s="59" t="s">
        <v>100</v>
      </c>
      <c r="O207" s="49"/>
      <c r="P207" s="49"/>
      <c r="Q207" s="49"/>
      <c r="R207" s="49"/>
      <c r="S207" s="49"/>
      <c r="T207" s="49"/>
      <c r="U207" s="49"/>
      <c r="V207" s="49"/>
      <c r="W207" s="49"/>
      <c r="X207" s="183"/>
    </row>
    <row r="208" spans="1:24">
      <c r="A208" s="43">
        <v>208</v>
      </c>
      <c r="B208" s="43"/>
      <c r="C208" s="8"/>
      <c r="D208" s="8"/>
      <c r="E208" s="8"/>
      <c r="F208" s="14" t="s">
        <v>100</v>
      </c>
      <c r="G208" s="30" t="s">
        <v>100</v>
      </c>
      <c r="H208" s="30" t="s">
        <v>100</v>
      </c>
      <c r="I208" s="329"/>
      <c r="J208" s="33"/>
      <c r="K208" s="33"/>
      <c r="L208" s="33"/>
      <c r="M208" s="33"/>
      <c r="N208" s="59" t="s">
        <v>100</v>
      </c>
      <c r="O208" s="49"/>
      <c r="P208" s="49"/>
      <c r="Q208" s="49"/>
      <c r="R208" s="49"/>
      <c r="S208" s="49"/>
      <c r="T208" s="49"/>
      <c r="U208" s="49"/>
      <c r="V208" s="49"/>
      <c r="W208" s="49"/>
      <c r="X208" s="183"/>
    </row>
    <row r="209" spans="1:24">
      <c r="A209" s="43">
        <v>209</v>
      </c>
      <c r="B209" s="43"/>
      <c r="C209" s="8"/>
      <c r="D209" s="8"/>
      <c r="E209" s="8"/>
      <c r="F209" s="14" t="s">
        <v>100</v>
      </c>
      <c r="G209" s="30" t="s">
        <v>100</v>
      </c>
      <c r="H209" s="30" t="s">
        <v>100</v>
      </c>
      <c r="I209" s="329"/>
      <c r="J209" s="33"/>
      <c r="K209" s="33"/>
      <c r="L209" s="33"/>
      <c r="M209" s="33"/>
      <c r="N209" s="59" t="s">
        <v>100</v>
      </c>
      <c r="O209" s="49"/>
      <c r="P209" s="49"/>
      <c r="Q209" s="49"/>
      <c r="R209" s="49"/>
      <c r="S209" s="49"/>
      <c r="T209" s="49"/>
      <c r="U209" s="49"/>
      <c r="V209" s="49"/>
      <c r="W209" s="49"/>
      <c r="X209" s="183"/>
    </row>
    <row r="210" spans="1:24">
      <c r="A210" s="43">
        <v>210</v>
      </c>
      <c r="B210" s="43"/>
      <c r="C210" s="8"/>
      <c r="D210" s="8"/>
      <c r="E210" s="8"/>
      <c r="F210" s="14" t="s">
        <v>100</v>
      </c>
      <c r="G210" s="30" t="s">
        <v>100</v>
      </c>
      <c r="H210" s="30" t="s">
        <v>100</v>
      </c>
      <c r="I210" s="329"/>
      <c r="J210" s="33"/>
      <c r="K210" s="33"/>
      <c r="L210" s="33"/>
      <c r="M210" s="33"/>
      <c r="N210" s="59" t="s">
        <v>100</v>
      </c>
      <c r="O210" s="49"/>
      <c r="P210" s="49"/>
      <c r="Q210" s="49"/>
      <c r="R210" s="49"/>
      <c r="S210" s="49"/>
      <c r="T210" s="49"/>
      <c r="U210" s="49"/>
      <c r="V210" s="49"/>
      <c r="W210" s="49"/>
      <c r="X210" s="183"/>
    </row>
    <row r="211" spans="1:24">
      <c r="A211" s="43">
        <v>211</v>
      </c>
      <c r="B211" s="43"/>
      <c r="C211" s="8"/>
      <c r="D211" s="8"/>
      <c r="E211" s="8"/>
      <c r="F211" s="14" t="s">
        <v>100</v>
      </c>
      <c r="G211" s="30" t="s">
        <v>100</v>
      </c>
      <c r="H211" s="30" t="s">
        <v>100</v>
      </c>
      <c r="I211" s="329"/>
      <c r="J211" s="33"/>
      <c r="K211" s="33"/>
      <c r="L211" s="33"/>
      <c r="M211" s="33"/>
      <c r="N211" s="59" t="s">
        <v>100</v>
      </c>
      <c r="O211" s="49"/>
      <c r="P211" s="49"/>
      <c r="Q211" s="49"/>
      <c r="R211" s="49"/>
      <c r="S211" s="49"/>
      <c r="T211" s="49"/>
      <c r="U211" s="49"/>
      <c r="V211" s="49"/>
      <c r="W211" s="49"/>
      <c r="X211" s="183"/>
    </row>
    <row r="212" spans="1:24">
      <c r="A212" s="43">
        <v>212</v>
      </c>
      <c r="B212" s="43"/>
      <c r="C212" s="8"/>
      <c r="D212" s="8"/>
      <c r="E212" s="8"/>
      <c r="F212" s="14" t="s">
        <v>100</v>
      </c>
      <c r="G212" s="30" t="s">
        <v>100</v>
      </c>
      <c r="H212" s="30" t="s">
        <v>100</v>
      </c>
      <c r="I212" s="329"/>
      <c r="J212" s="33"/>
      <c r="K212" s="33"/>
      <c r="L212" s="33"/>
      <c r="M212" s="33"/>
      <c r="N212" s="59" t="s">
        <v>100</v>
      </c>
      <c r="O212" s="49"/>
      <c r="P212" s="49"/>
      <c r="Q212" s="49"/>
      <c r="R212" s="49"/>
      <c r="S212" s="49"/>
      <c r="T212" s="49"/>
      <c r="U212" s="49"/>
      <c r="V212" s="49"/>
      <c r="W212" s="49"/>
      <c r="X212" s="183"/>
    </row>
    <row r="213" spans="1:24">
      <c r="A213" s="43">
        <v>213</v>
      </c>
      <c r="B213" s="43"/>
      <c r="C213" s="8"/>
      <c r="D213" s="8"/>
      <c r="E213" s="8"/>
      <c r="F213" s="14" t="s">
        <v>100</v>
      </c>
      <c r="G213" s="30" t="s">
        <v>100</v>
      </c>
      <c r="H213" s="30" t="s">
        <v>100</v>
      </c>
      <c r="I213" s="329"/>
      <c r="J213" s="33"/>
      <c r="K213" s="33"/>
      <c r="L213" s="33"/>
      <c r="M213" s="33"/>
      <c r="N213" s="59" t="s">
        <v>100</v>
      </c>
      <c r="O213" s="49"/>
      <c r="P213" s="49"/>
      <c r="Q213" s="49"/>
      <c r="R213" s="49"/>
      <c r="S213" s="49"/>
      <c r="T213" s="49"/>
      <c r="U213" s="49"/>
      <c r="V213" s="49"/>
      <c r="W213" s="49"/>
      <c r="X213" s="183"/>
    </row>
    <row r="214" spans="1:24">
      <c r="A214" s="43">
        <v>214</v>
      </c>
      <c r="B214" s="43"/>
      <c r="C214" s="8"/>
      <c r="D214" s="8"/>
      <c r="E214" s="8"/>
      <c r="F214" s="14" t="s">
        <v>100</v>
      </c>
      <c r="G214" s="30" t="s">
        <v>100</v>
      </c>
      <c r="H214" s="30" t="s">
        <v>100</v>
      </c>
      <c r="I214" s="329"/>
      <c r="J214" s="33"/>
      <c r="K214" s="33"/>
      <c r="L214" s="33"/>
      <c r="M214" s="33"/>
      <c r="N214" s="59" t="s">
        <v>100</v>
      </c>
      <c r="O214" s="49"/>
      <c r="P214" s="49"/>
      <c r="Q214" s="49"/>
      <c r="R214" s="49"/>
      <c r="S214" s="49"/>
      <c r="T214" s="49"/>
      <c r="U214" s="49"/>
      <c r="V214" s="49"/>
      <c r="W214" s="49"/>
      <c r="X214" s="183"/>
    </row>
    <row r="215" spans="1:24">
      <c r="A215" s="43">
        <v>215</v>
      </c>
      <c r="B215" s="43"/>
      <c r="C215" s="8"/>
      <c r="D215" s="8"/>
      <c r="E215" s="8"/>
      <c r="F215" s="14" t="s">
        <v>100</v>
      </c>
      <c r="G215" s="30" t="s">
        <v>100</v>
      </c>
      <c r="H215" s="30" t="s">
        <v>100</v>
      </c>
      <c r="I215" s="329"/>
      <c r="J215" s="33"/>
      <c r="K215" s="33"/>
      <c r="L215" s="33"/>
      <c r="M215" s="33"/>
      <c r="N215" s="59" t="s">
        <v>100</v>
      </c>
      <c r="O215" s="49"/>
      <c r="P215" s="49"/>
      <c r="Q215" s="49"/>
      <c r="R215" s="49"/>
      <c r="S215" s="49"/>
      <c r="T215" s="49"/>
      <c r="U215" s="49"/>
      <c r="V215" s="49"/>
      <c r="W215" s="49"/>
      <c r="X215" s="183"/>
    </row>
    <row r="216" spans="1:24">
      <c r="A216" s="43">
        <v>216</v>
      </c>
      <c r="B216" s="43"/>
      <c r="C216" s="8"/>
      <c r="D216" s="8"/>
      <c r="E216" s="8"/>
      <c r="F216" s="14" t="s">
        <v>100</v>
      </c>
      <c r="G216" s="30" t="s">
        <v>100</v>
      </c>
      <c r="H216" s="30" t="s">
        <v>100</v>
      </c>
      <c r="I216" s="329"/>
      <c r="J216" s="33"/>
      <c r="K216" s="33"/>
      <c r="L216" s="33"/>
      <c r="M216" s="33"/>
      <c r="N216" s="59" t="s">
        <v>100</v>
      </c>
      <c r="O216" s="49"/>
      <c r="P216" s="49"/>
      <c r="Q216" s="49"/>
      <c r="R216" s="49"/>
      <c r="S216" s="49"/>
      <c r="T216" s="49"/>
      <c r="U216" s="49"/>
      <c r="V216" s="49"/>
      <c r="W216" s="49"/>
      <c r="X216" s="183"/>
    </row>
    <row r="217" spans="1:24">
      <c r="A217" s="43">
        <v>217</v>
      </c>
      <c r="B217" s="43"/>
      <c r="C217" s="8"/>
      <c r="D217" s="8"/>
      <c r="E217" s="8"/>
      <c r="F217" s="14" t="s">
        <v>100</v>
      </c>
      <c r="G217" s="30" t="s">
        <v>100</v>
      </c>
      <c r="H217" s="30" t="s">
        <v>100</v>
      </c>
      <c r="I217" s="329"/>
      <c r="J217" s="33"/>
      <c r="K217" s="33"/>
      <c r="L217" s="33"/>
      <c r="M217" s="33"/>
      <c r="N217" s="59" t="s">
        <v>100</v>
      </c>
      <c r="O217" s="49"/>
      <c r="P217" s="49"/>
      <c r="Q217" s="49"/>
      <c r="R217" s="49"/>
      <c r="S217" s="49"/>
      <c r="T217" s="49"/>
      <c r="U217" s="49"/>
      <c r="V217" s="49"/>
      <c r="W217" s="49"/>
      <c r="X217" s="183"/>
    </row>
    <row r="218" spans="1:24">
      <c r="A218" s="43">
        <v>218</v>
      </c>
      <c r="B218" s="43"/>
      <c r="C218" s="8"/>
      <c r="D218" s="8"/>
      <c r="E218" s="8"/>
      <c r="F218" s="14" t="s">
        <v>100</v>
      </c>
      <c r="G218" s="30" t="s">
        <v>100</v>
      </c>
      <c r="H218" s="30" t="s">
        <v>100</v>
      </c>
      <c r="I218" s="329"/>
      <c r="J218" s="33"/>
      <c r="K218" s="33"/>
      <c r="L218" s="33"/>
      <c r="M218" s="33"/>
      <c r="N218" s="59" t="s">
        <v>100</v>
      </c>
      <c r="O218" s="49"/>
      <c r="P218" s="49"/>
      <c r="Q218" s="49"/>
      <c r="R218" s="49"/>
      <c r="S218" s="49"/>
      <c r="T218" s="49"/>
      <c r="U218" s="49"/>
      <c r="V218" s="49"/>
      <c r="W218" s="49"/>
      <c r="X218" s="183"/>
    </row>
    <row r="219" spans="1:24">
      <c r="A219" s="43">
        <v>219</v>
      </c>
      <c r="B219" s="43"/>
      <c r="C219" s="8"/>
      <c r="D219" s="8"/>
      <c r="E219" s="8"/>
      <c r="F219" s="14" t="s">
        <v>100</v>
      </c>
      <c r="G219" s="30" t="s">
        <v>100</v>
      </c>
      <c r="H219" s="30" t="s">
        <v>100</v>
      </c>
      <c r="I219" s="329"/>
      <c r="J219" s="33"/>
      <c r="K219" s="33"/>
      <c r="L219" s="33"/>
      <c r="M219" s="33"/>
      <c r="N219" s="59" t="s">
        <v>100</v>
      </c>
      <c r="O219" s="49"/>
      <c r="P219" s="49"/>
      <c r="Q219" s="49"/>
      <c r="R219" s="49"/>
      <c r="S219" s="49"/>
      <c r="T219" s="49"/>
      <c r="U219" s="49"/>
      <c r="V219" s="49"/>
      <c r="W219" s="49"/>
      <c r="X219" s="183"/>
    </row>
    <row r="220" spans="1:24">
      <c r="A220" s="43">
        <v>220</v>
      </c>
      <c r="B220" s="43"/>
      <c r="C220" s="8"/>
      <c r="D220" s="8"/>
      <c r="E220" s="8"/>
      <c r="F220" s="14" t="s">
        <v>100</v>
      </c>
      <c r="G220" s="30" t="s">
        <v>100</v>
      </c>
      <c r="H220" s="30" t="s">
        <v>100</v>
      </c>
      <c r="I220" s="329"/>
      <c r="J220" s="33"/>
      <c r="K220" s="33"/>
      <c r="L220" s="33"/>
      <c r="M220" s="33"/>
      <c r="N220" s="59" t="s">
        <v>100</v>
      </c>
      <c r="O220" s="49"/>
      <c r="P220" s="49"/>
      <c r="Q220" s="49"/>
      <c r="R220" s="49"/>
      <c r="S220" s="49"/>
      <c r="T220" s="49"/>
      <c r="U220" s="49"/>
      <c r="V220" s="49"/>
      <c r="W220" s="49"/>
      <c r="X220" s="183"/>
    </row>
    <row r="221" spans="1:24">
      <c r="A221" s="43">
        <v>221</v>
      </c>
      <c r="B221" s="43"/>
      <c r="C221" s="8"/>
      <c r="D221" s="8"/>
      <c r="E221" s="8"/>
      <c r="F221" s="14" t="s">
        <v>100</v>
      </c>
      <c r="G221" s="30" t="s">
        <v>100</v>
      </c>
      <c r="H221" s="30" t="s">
        <v>100</v>
      </c>
      <c r="I221" s="329"/>
      <c r="J221" s="33"/>
      <c r="K221" s="33"/>
      <c r="L221" s="33"/>
      <c r="M221" s="33"/>
      <c r="N221" s="59" t="s">
        <v>100</v>
      </c>
      <c r="O221" s="49"/>
      <c r="P221" s="49"/>
      <c r="Q221" s="49"/>
      <c r="R221" s="49"/>
      <c r="S221" s="49"/>
      <c r="T221" s="49"/>
      <c r="U221" s="49"/>
      <c r="V221" s="49"/>
      <c r="W221" s="49"/>
      <c r="X221" s="183"/>
    </row>
    <row r="222" spans="1:24">
      <c r="A222" s="43">
        <v>219</v>
      </c>
      <c r="B222" s="43"/>
      <c r="C222" s="8"/>
      <c r="D222" s="8"/>
      <c r="E222" s="8"/>
      <c r="F222" s="14" t="s">
        <v>100</v>
      </c>
      <c r="G222" s="30" t="s">
        <v>100</v>
      </c>
      <c r="H222" s="30" t="s">
        <v>100</v>
      </c>
      <c r="I222" s="329"/>
      <c r="J222" s="33"/>
      <c r="K222" s="33"/>
      <c r="L222" s="33"/>
      <c r="M222" s="33"/>
      <c r="N222" s="59" t="s">
        <v>100</v>
      </c>
      <c r="O222" s="49"/>
      <c r="P222" s="49"/>
      <c r="Q222" s="49"/>
      <c r="R222" s="49"/>
      <c r="S222" s="49"/>
      <c r="T222" s="49"/>
      <c r="U222" s="49"/>
      <c r="V222" s="49"/>
      <c r="W222" s="49"/>
      <c r="X222" s="183"/>
    </row>
    <row r="223" spans="1:24">
      <c r="A223" s="43">
        <v>220</v>
      </c>
      <c r="B223" s="43"/>
      <c r="C223" s="8"/>
      <c r="D223" s="8"/>
      <c r="E223" s="8"/>
      <c r="F223" s="14" t="s">
        <v>100</v>
      </c>
      <c r="G223" s="30" t="s">
        <v>100</v>
      </c>
      <c r="H223" s="30" t="s">
        <v>100</v>
      </c>
      <c r="I223" s="329"/>
      <c r="J223" s="33"/>
      <c r="K223" s="33"/>
      <c r="L223" s="33"/>
      <c r="M223" s="33"/>
      <c r="N223" s="59" t="s">
        <v>100</v>
      </c>
      <c r="O223" s="49"/>
      <c r="P223" s="49"/>
      <c r="Q223" s="49"/>
      <c r="R223" s="49"/>
      <c r="S223" s="49"/>
      <c r="T223" s="49"/>
      <c r="U223" s="49"/>
      <c r="V223" s="49"/>
      <c r="W223" s="49"/>
      <c r="X223" s="183"/>
    </row>
    <row r="224" spans="1:24">
      <c r="A224" s="43">
        <v>221</v>
      </c>
      <c r="B224" s="43"/>
      <c r="C224" s="8"/>
      <c r="D224" s="8"/>
      <c r="E224" s="8"/>
      <c r="F224" s="14" t="s">
        <v>100</v>
      </c>
      <c r="G224" s="30" t="s">
        <v>100</v>
      </c>
      <c r="H224" s="30" t="s">
        <v>100</v>
      </c>
      <c r="I224" s="329"/>
      <c r="J224" s="33"/>
      <c r="K224" s="33"/>
      <c r="L224" s="33"/>
      <c r="M224" s="33"/>
      <c r="N224" s="59" t="s">
        <v>100</v>
      </c>
      <c r="O224" s="49"/>
      <c r="P224" s="49"/>
      <c r="Q224" s="49"/>
      <c r="R224" s="49"/>
      <c r="S224" s="49"/>
      <c r="T224" s="49"/>
      <c r="U224" s="49"/>
      <c r="V224" s="49"/>
      <c r="W224" s="49"/>
      <c r="X224" s="183"/>
    </row>
    <row r="225" spans="1:24">
      <c r="A225" s="43">
        <v>221</v>
      </c>
      <c r="B225" s="43"/>
      <c r="C225" s="8"/>
      <c r="D225" s="8"/>
      <c r="E225" s="8"/>
      <c r="F225" s="14" t="s">
        <v>100</v>
      </c>
      <c r="G225" s="30" t="s">
        <v>100</v>
      </c>
      <c r="H225" s="30" t="s">
        <v>100</v>
      </c>
      <c r="I225" s="329"/>
      <c r="J225" s="33"/>
      <c r="K225" s="33"/>
      <c r="L225" s="33"/>
      <c r="M225" s="33"/>
      <c r="N225" s="59" t="s">
        <v>100</v>
      </c>
      <c r="O225" s="49"/>
      <c r="P225" s="49"/>
      <c r="Q225" s="49"/>
      <c r="R225" s="49"/>
      <c r="S225" s="49"/>
      <c r="T225" s="49"/>
      <c r="U225" s="49"/>
      <c r="V225" s="49"/>
      <c r="W225" s="49"/>
      <c r="X225" s="183"/>
    </row>
    <row r="226" spans="1:24">
      <c r="A226" s="43">
        <v>221</v>
      </c>
      <c r="B226" s="43"/>
      <c r="C226" s="8"/>
      <c r="D226" s="8"/>
      <c r="E226" s="8"/>
      <c r="F226" s="14" t="s">
        <v>100</v>
      </c>
      <c r="G226" s="30" t="s">
        <v>100</v>
      </c>
      <c r="H226" s="30" t="s">
        <v>100</v>
      </c>
      <c r="I226" s="329"/>
      <c r="J226" s="33"/>
      <c r="K226" s="33"/>
      <c r="L226" s="33"/>
      <c r="M226" s="33"/>
      <c r="N226" s="59" t="s">
        <v>100</v>
      </c>
      <c r="O226" s="49"/>
      <c r="P226" s="49"/>
      <c r="Q226" s="49"/>
      <c r="R226" s="49"/>
      <c r="S226" s="49"/>
      <c r="T226" s="49"/>
      <c r="U226" s="49"/>
      <c r="V226" s="49"/>
      <c r="W226" s="49"/>
      <c r="X226" s="183"/>
    </row>
    <row r="227" spans="1:24">
      <c r="A227" s="43">
        <v>221</v>
      </c>
      <c r="B227" s="43"/>
      <c r="C227" s="8"/>
      <c r="D227" s="8"/>
      <c r="E227" s="8"/>
      <c r="F227" s="14" t="s">
        <v>100</v>
      </c>
      <c r="G227" s="30" t="s">
        <v>100</v>
      </c>
      <c r="H227" s="30" t="s">
        <v>100</v>
      </c>
      <c r="I227" s="329"/>
      <c r="J227" s="33"/>
      <c r="K227" s="33"/>
      <c r="L227" s="33"/>
      <c r="M227" s="33"/>
      <c r="N227" s="59" t="s">
        <v>100</v>
      </c>
      <c r="O227" s="49"/>
      <c r="P227" s="49"/>
      <c r="Q227" s="49"/>
      <c r="R227" s="49"/>
      <c r="S227" s="49"/>
      <c r="T227" s="49"/>
      <c r="U227" s="49"/>
      <c r="V227" s="49"/>
      <c r="W227" s="49"/>
      <c r="X227" s="183"/>
    </row>
    <row r="228" spans="1:24">
      <c r="A228" s="43">
        <v>222</v>
      </c>
      <c r="B228" s="43"/>
      <c r="C228" s="8"/>
      <c r="D228" s="8"/>
      <c r="E228" s="8"/>
      <c r="F228" s="14" t="s">
        <v>100</v>
      </c>
      <c r="G228" s="30" t="s">
        <v>100</v>
      </c>
      <c r="H228" s="30" t="s">
        <v>100</v>
      </c>
      <c r="I228" s="329"/>
      <c r="J228" s="33"/>
      <c r="K228" s="33"/>
      <c r="L228" s="33"/>
      <c r="M228" s="33"/>
      <c r="N228" s="59" t="s">
        <v>100</v>
      </c>
      <c r="O228" s="49"/>
      <c r="P228" s="49"/>
      <c r="Q228" s="49"/>
      <c r="R228" s="49"/>
      <c r="S228" s="49"/>
      <c r="T228" s="49"/>
      <c r="U228" s="49"/>
      <c r="V228" s="49"/>
      <c r="W228" s="49"/>
      <c r="X228" s="183"/>
    </row>
    <row r="229" spans="1:24">
      <c r="A229" s="43">
        <v>223</v>
      </c>
      <c r="B229" s="43"/>
      <c r="C229" s="8"/>
      <c r="D229" s="8"/>
      <c r="E229" s="8"/>
      <c r="F229" s="14" t="s">
        <v>100</v>
      </c>
      <c r="G229" s="30" t="s">
        <v>100</v>
      </c>
      <c r="H229" s="30" t="s">
        <v>100</v>
      </c>
      <c r="I229" s="329"/>
      <c r="J229" s="33"/>
      <c r="K229" s="33"/>
      <c r="L229" s="33"/>
      <c r="M229" s="33"/>
      <c r="N229" s="59" t="s">
        <v>100</v>
      </c>
      <c r="O229" s="49"/>
      <c r="P229" s="49"/>
      <c r="Q229" s="49"/>
      <c r="R229" s="49"/>
      <c r="S229" s="49"/>
      <c r="T229" s="49"/>
      <c r="U229" s="49"/>
      <c r="V229" s="49"/>
      <c r="W229" s="49"/>
      <c r="X229" s="183"/>
    </row>
    <row r="230" spans="1:24">
      <c r="A230" s="43">
        <v>224</v>
      </c>
      <c r="B230" s="43"/>
      <c r="C230" s="8"/>
      <c r="D230" s="8"/>
      <c r="E230" s="8"/>
      <c r="F230" s="14" t="s">
        <v>100</v>
      </c>
      <c r="G230" s="30" t="s">
        <v>100</v>
      </c>
      <c r="H230" s="30" t="s">
        <v>100</v>
      </c>
      <c r="I230" s="329"/>
      <c r="J230" s="33"/>
      <c r="K230" s="33"/>
      <c r="L230" s="33"/>
      <c r="M230" s="33"/>
      <c r="N230" s="59" t="s">
        <v>100</v>
      </c>
      <c r="O230" s="49"/>
      <c r="P230" s="49"/>
      <c r="Q230" s="49"/>
      <c r="R230" s="49"/>
      <c r="S230" s="49"/>
      <c r="T230" s="49"/>
      <c r="U230" s="49"/>
      <c r="V230" s="49"/>
      <c r="W230" s="49"/>
      <c r="X230" s="183"/>
    </row>
    <row r="231" spans="1:24">
      <c r="A231" s="43">
        <v>225</v>
      </c>
      <c r="B231" s="43"/>
      <c r="C231" s="8"/>
      <c r="D231" s="8"/>
      <c r="E231" s="8"/>
      <c r="F231" s="14" t="s">
        <v>100</v>
      </c>
      <c r="G231" s="30" t="s">
        <v>100</v>
      </c>
      <c r="H231" s="30" t="s">
        <v>100</v>
      </c>
      <c r="I231" s="329"/>
      <c r="J231" s="33"/>
      <c r="K231" s="33"/>
      <c r="L231" s="33"/>
      <c r="M231" s="33"/>
      <c r="N231" s="59" t="s">
        <v>100</v>
      </c>
      <c r="O231" s="49"/>
      <c r="P231" s="49"/>
      <c r="Q231" s="49"/>
      <c r="R231" s="49"/>
      <c r="S231" s="49"/>
      <c r="T231" s="49"/>
      <c r="U231" s="49"/>
      <c r="V231" s="49"/>
      <c r="W231" s="49"/>
      <c r="X231" s="183"/>
    </row>
    <row r="232" spans="1:24">
      <c r="A232" s="43">
        <v>226</v>
      </c>
      <c r="B232" s="43"/>
      <c r="C232" s="8"/>
      <c r="D232" s="8"/>
      <c r="E232" s="8"/>
      <c r="F232" s="14" t="s">
        <v>100</v>
      </c>
      <c r="G232" s="30" t="s">
        <v>100</v>
      </c>
      <c r="H232" s="30" t="s">
        <v>100</v>
      </c>
      <c r="I232" s="329"/>
      <c r="J232" s="33"/>
      <c r="K232" s="33"/>
      <c r="L232" s="33"/>
      <c r="M232" s="33"/>
      <c r="N232" s="59" t="s">
        <v>100</v>
      </c>
      <c r="O232" s="49"/>
      <c r="P232" s="49"/>
      <c r="Q232" s="49"/>
      <c r="R232" s="49"/>
      <c r="S232" s="49"/>
      <c r="T232" s="49"/>
      <c r="U232" s="49"/>
      <c r="V232" s="49"/>
      <c r="W232" s="49"/>
      <c r="X232" s="183"/>
    </row>
    <row r="233" spans="1:24">
      <c r="A233" s="43">
        <v>227</v>
      </c>
      <c r="B233" s="43"/>
      <c r="C233" s="8"/>
      <c r="D233" s="8"/>
      <c r="E233" s="8"/>
      <c r="F233" s="14" t="s">
        <v>100</v>
      </c>
      <c r="G233" s="30" t="s">
        <v>100</v>
      </c>
      <c r="H233" s="30" t="s">
        <v>100</v>
      </c>
      <c r="I233" s="329"/>
      <c r="J233" s="33"/>
      <c r="K233" s="33"/>
      <c r="L233" s="33"/>
      <c r="M233" s="33"/>
      <c r="N233" s="59" t="s">
        <v>100</v>
      </c>
      <c r="O233" s="49"/>
      <c r="P233" s="49"/>
      <c r="Q233" s="49"/>
      <c r="R233" s="49"/>
      <c r="S233" s="49"/>
      <c r="T233" s="49"/>
      <c r="U233" s="49"/>
      <c r="V233" s="49"/>
      <c r="W233" s="49"/>
      <c r="X233" s="183"/>
    </row>
    <row r="234" spans="1:24">
      <c r="A234" s="43">
        <v>228</v>
      </c>
      <c r="B234" s="43"/>
      <c r="C234" s="8"/>
      <c r="D234" s="8"/>
      <c r="E234" s="8"/>
      <c r="F234" s="14" t="s">
        <v>100</v>
      </c>
      <c r="G234" s="30" t="s">
        <v>100</v>
      </c>
      <c r="H234" s="30" t="s">
        <v>100</v>
      </c>
      <c r="I234" s="329"/>
      <c r="J234" s="33"/>
      <c r="K234" s="33"/>
      <c r="L234" s="33"/>
      <c r="M234" s="33"/>
      <c r="N234" s="59" t="s">
        <v>100</v>
      </c>
      <c r="O234" s="49"/>
      <c r="P234" s="49"/>
      <c r="Q234" s="49"/>
      <c r="R234" s="49"/>
      <c r="S234" s="49"/>
      <c r="T234" s="49"/>
      <c r="U234" s="49"/>
      <c r="V234" s="49"/>
      <c r="W234" s="49"/>
      <c r="X234" s="183"/>
    </row>
    <row r="235" spans="1:24">
      <c r="A235" s="43">
        <v>229</v>
      </c>
      <c r="B235" s="43"/>
      <c r="C235" s="8"/>
      <c r="D235" s="8"/>
      <c r="E235" s="8"/>
      <c r="F235" s="14" t="s">
        <v>100</v>
      </c>
      <c r="G235" s="30" t="s">
        <v>100</v>
      </c>
      <c r="H235" s="30" t="s">
        <v>100</v>
      </c>
      <c r="I235" s="329"/>
      <c r="J235" s="33"/>
      <c r="K235" s="33"/>
      <c r="L235" s="33"/>
      <c r="M235" s="33"/>
      <c r="N235" s="59" t="s">
        <v>100</v>
      </c>
      <c r="O235" s="49"/>
      <c r="P235" s="49"/>
      <c r="Q235" s="49"/>
      <c r="R235" s="49"/>
      <c r="S235" s="49"/>
      <c r="T235" s="49"/>
      <c r="U235" s="49"/>
      <c r="V235" s="49"/>
      <c r="W235" s="49"/>
      <c r="X235" s="183"/>
    </row>
    <row r="236" spans="1:24">
      <c r="A236" s="43">
        <v>230</v>
      </c>
      <c r="B236" s="43"/>
      <c r="C236" s="8"/>
      <c r="D236" s="8"/>
      <c r="E236" s="8"/>
      <c r="F236" s="14" t="s">
        <v>100</v>
      </c>
      <c r="G236" s="30" t="s">
        <v>100</v>
      </c>
      <c r="H236" s="30" t="s">
        <v>100</v>
      </c>
      <c r="I236" s="329"/>
      <c r="J236" s="33"/>
      <c r="K236" s="33"/>
      <c r="L236" s="33"/>
      <c r="M236" s="33"/>
      <c r="N236" s="59" t="s">
        <v>100</v>
      </c>
      <c r="O236" s="49"/>
      <c r="P236" s="49"/>
      <c r="Q236" s="49"/>
      <c r="R236" s="49"/>
      <c r="S236" s="49"/>
      <c r="T236" s="49"/>
      <c r="U236" s="49"/>
      <c r="V236" s="49"/>
      <c r="W236" s="49"/>
      <c r="X236" s="183"/>
    </row>
    <row r="237" spans="1:24">
      <c r="A237" s="43">
        <v>231</v>
      </c>
      <c r="B237" s="43"/>
      <c r="C237" s="8"/>
      <c r="D237" s="8"/>
      <c r="E237" s="8"/>
      <c r="F237" s="14" t="s">
        <v>100</v>
      </c>
      <c r="G237" s="30" t="s">
        <v>100</v>
      </c>
      <c r="H237" s="30" t="s">
        <v>100</v>
      </c>
      <c r="I237" s="329"/>
      <c r="J237" s="33"/>
      <c r="K237" s="33"/>
      <c r="L237" s="33"/>
      <c r="M237" s="33"/>
      <c r="N237" s="59" t="s">
        <v>100</v>
      </c>
      <c r="O237" s="49"/>
      <c r="P237" s="49"/>
      <c r="Q237" s="49"/>
      <c r="R237" s="49"/>
      <c r="S237" s="49"/>
      <c r="T237" s="49"/>
      <c r="U237" s="49"/>
      <c r="V237" s="49"/>
      <c r="W237" s="49"/>
      <c r="X237" s="183"/>
    </row>
    <row r="238" spans="1:24">
      <c r="A238" s="43">
        <v>232</v>
      </c>
      <c r="B238" s="43"/>
      <c r="C238" s="8"/>
      <c r="D238" s="8"/>
      <c r="E238" s="8"/>
      <c r="F238" s="14" t="s">
        <v>100</v>
      </c>
      <c r="G238" s="30" t="s">
        <v>100</v>
      </c>
      <c r="H238" s="30" t="s">
        <v>100</v>
      </c>
      <c r="I238" s="329"/>
      <c r="J238" s="33"/>
      <c r="K238" s="33"/>
      <c r="L238" s="33"/>
      <c r="M238" s="33"/>
      <c r="N238" s="59" t="s">
        <v>100</v>
      </c>
      <c r="O238" s="49"/>
      <c r="P238" s="49"/>
      <c r="Q238" s="49"/>
      <c r="R238" s="49"/>
      <c r="S238" s="49"/>
      <c r="T238" s="49"/>
      <c r="U238" s="49"/>
      <c r="V238" s="49"/>
      <c r="W238" s="49"/>
      <c r="X238" s="183"/>
    </row>
    <row r="239" spans="1:24">
      <c r="A239" s="43">
        <v>233</v>
      </c>
      <c r="B239" s="43"/>
      <c r="C239" s="8"/>
      <c r="D239" s="8"/>
      <c r="E239" s="8"/>
      <c r="F239" s="14" t="s">
        <v>100</v>
      </c>
      <c r="G239" s="30" t="s">
        <v>100</v>
      </c>
      <c r="H239" s="30" t="s">
        <v>100</v>
      </c>
      <c r="I239" s="329"/>
      <c r="J239" s="33"/>
      <c r="K239" s="33"/>
      <c r="L239" s="33"/>
      <c r="M239" s="33"/>
      <c r="N239" s="59" t="s">
        <v>100</v>
      </c>
      <c r="O239" s="49"/>
      <c r="P239" s="49"/>
      <c r="Q239" s="49"/>
      <c r="R239" s="49"/>
      <c r="S239" s="49"/>
      <c r="T239" s="49"/>
      <c r="U239" s="49"/>
      <c r="V239" s="49"/>
      <c r="W239" s="49"/>
      <c r="X239" s="183"/>
    </row>
    <row r="240" spans="1:24">
      <c r="A240" s="43">
        <v>234</v>
      </c>
      <c r="B240" s="43"/>
      <c r="C240" s="8"/>
      <c r="D240" s="8"/>
      <c r="E240" s="8"/>
      <c r="F240" s="14" t="s">
        <v>100</v>
      </c>
      <c r="G240" s="30" t="s">
        <v>100</v>
      </c>
      <c r="H240" s="30" t="s">
        <v>100</v>
      </c>
      <c r="I240" s="329"/>
      <c r="J240" s="33"/>
      <c r="K240" s="33"/>
      <c r="L240" s="33"/>
      <c r="M240" s="33"/>
      <c r="N240" s="59" t="s">
        <v>100</v>
      </c>
      <c r="O240" s="49"/>
      <c r="P240" s="49"/>
      <c r="Q240" s="49"/>
      <c r="R240" s="49"/>
      <c r="S240" s="49"/>
      <c r="T240" s="49"/>
      <c r="U240" s="49"/>
      <c r="V240" s="49"/>
      <c r="W240" s="49"/>
      <c r="X240" s="183"/>
    </row>
    <row r="241" spans="1:24">
      <c r="A241" s="43">
        <v>235</v>
      </c>
      <c r="B241" s="43"/>
      <c r="C241" s="8"/>
      <c r="D241" s="8"/>
      <c r="E241" s="8"/>
      <c r="F241" s="14" t="s">
        <v>100</v>
      </c>
      <c r="G241" s="30" t="s">
        <v>100</v>
      </c>
      <c r="H241" s="30" t="s">
        <v>100</v>
      </c>
      <c r="I241" s="329"/>
      <c r="J241" s="33"/>
      <c r="K241" s="33"/>
      <c r="L241" s="33"/>
      <c r="M241" s="33"/>
      <c r="N241" s="59" t="s">
        <v>100</v>
      </c>
      <c r="O241" s="49"/>
      <c r="P241" s="49"/>
      <c r="Q241" s="49"/>
      <c r="R241" s="49"/>
      <c r="S241" s="49"/>
      <c r="T241" s="49"/>
      <c r="U241" s="49"/>
      <c r="V241" s="49"/>
      <c r="W241" s="49"/>
      <c r="X241" s="183"/>
    </row>
    <row r="242" spans="1:24">
      <c r="A242" s="43">
        <v>236</v>
      </c>
      <c r="B242" s="43"/>
      <c r="C242" s="8"/>
      <c r="D242" s="8"/>
      <c r="E242" s="8"/>
      <c r="F242" s="14" t="s">
        <v>100</v>
      </c>
      <c r="G242" s="30" t="s">
        <v>100</v>
      </c>
      <c r="H242" s="30" t="s">
        <v>100</v>
      </c>
      <c r="I242" s="329"/>
      <c r="J242" s="33"/>
      <c r="K242" s="33"/>
      <c r="L242" s="33"/>
      <c r="M242" s="33"/>
      <c r="N242" s="59" t="s">
        <v>100</v>
      </c>
      <c r="O242" s="49"/>
      <c r="P242" s="49"/>
      <c r="Q242" s="49"/>
      <c r="R242" s="49"/>
      <c r="S242" s="49"/>
      <c r="T242" s="49"/>
      <c r="U242" s="49"/>
      <c r="V242" s="49"/>
      <c r="W242" s="49"/>
      <c r="X242" s="183"/>
    </row>
    <row r="243" spans="1:24">
      <c r="A243" s="43">
        <v>237</v>
      </c>
      <c r="B243" s="43"/>
      <c r="C243" s="8"/>
      <c r="D243" s="8"/>
      <c r="E243" s="8"/>
      <c r="F243" s="14" t="s">
        <v>100</v>
      </c>
      <c r="G243" s="30" t="s">
        <v>100</v>
      </c>
      <c r="H243" s="30" t="s">
        <v>100</v>
      </c>
      <c r="I243" s="329"/>
      <c r="J243" s="33"/>
      <c r="K243" s="33"/>
      <c r="L243" s="33"/>
      <c r="M243" s="33"/>
      <c r="N243" s="59" t="s">
        <v>100</v>
      </c>
      <c r="O243" s="49"/>
      <c r="P243" s="49"/>
      <c r="Q243" s="49"/>
      <c r="R243" s="49"/>
      <c r="S243" s="49"/>
      <c r="T243" s="49"/>
      <c r="U243" s="49"/>
      <c r="V243" s="49"/>
      <c r="W243" s="49"/>
      <c r="X243" s="183"/>
    </row>
    <row r="244" spans="1:24">
      <c r="A244" s="43">
        <v>238</v>
      </c>
      <c r="B244" s="43"/>
      <c r="C244" s="8"/>
      <c r="D244" s="8"/>
      <c r="E244" s="8"/>
      <c r="F244" s="14" t="s">
        <v>100</v>
      </c>
      <c r="G244" s="30" t="s">
        <v>100</v>
      </c>
      <c r="H244" s="30" t="s">
        <v>100</v>
      </c>
      <c r="I244" s="329"/>
      <c r="J244" s="33"/>
      <c r="K244" s="33"/>
      <c r="L244" s="33"/>
      <c r="M244" s="33"/>
      <c r="N244" s="59" t="s">
        <v>100</v>
      </c>
      <c r="O244" s="49"/>
      <c r="P244" s="49"/>
      <c r="Q244" s="49"/>
      <c r="R244" s="49"/>
      <c r="S244" s="49"/>
      <c r="T244" s="49"/>
      <c r="U244" s="49"/>
      <c r="V244" s="49"/>
      <c r="W244" s="49"/>
      <c r="X244" s="183"/>
    </row>
    <row r="245" spans="1:24">
      <c r="A245" s="43">
        <v>239</v>
      </c>
      <c r="B245" s="43"/>
      <c r="C245" s="8"/>
      <c r="D245" s="8"/>
      <c r="E245" s="8"/>
      <c r="F245" s="14" t="s">
        <v>100</v>
      </c>
      <c r="G245" s="30" t="s">
        <v>100</v>
      </c>
      <c r="H245" s="30" t="s">
        <v>100</v>
      </c>
      <c r="I245" s="329"/>
      <c r="J245" s="33"/>
      <c r="K245" s="33"/>
      <c r="L245" s="33"/>
      <c r="M245" s="33"/>
      <c r="N245" s="59" t="s">
        <v>100</v>
      </c>
      <c r="O245" s="49"/>
      <c r="P245" s="49"/>
      <c r="Q245" s="49"/>
      <c r="R245" s="49"/>
      <c r="S245" s="49"/>
      <c r="T245" s="49"/>
      <c r="U245" s="49"/>
      <c r="V245" s="49"/>
      <c r="W245" s="49"/>
      <c r="X245" s="183"/>
    </row>
    <row r="246" spans="1:24">
      <c r="A246" s="43">
        <v>240</v>
      </c>
      <c r="B246" s="43"/>
      <c r="C246" s="8"/>
      <c r="D246" s="8"/>
      <c r="E246" s="8"/>
      <c r="F246" s="14" t="s">
        <v>100</v>
      </c>
      <c r="G246" s="30" t="s">
        <v>100</v>
      </c>
      <c r="H246" s="30" t="s">
        <v>100</v>
      </c>
      <c r="I246" s="329"/>
      <c r="J246" s="33"/>
      <c r="K246" s="33"/>
      <c r="L246" s="33"/>
      <c r="M246" s="33"/>
      <c r="N246" s="59" t="s">
        <v>100</v>
      </c>
      <c r="O246" s="49"/>
      <c r="P246" s="49"/>
      <c r="Q246" s="49"/>
      <c r="R246" s="49"/>
      <c r="S246" s="49"/>
      <c r="T246" s="49"/>
      <c r="U246" s="49"/>
      <c r="V246" s="49"/>
      <c r="W246" s="49"/>
      <c r="X246" s="183"/>
    </row>
    <row r="247" spans="1:24">
      <c r="A247" s="43">
        <v>241</v>
      </c>
      <c r="B247" s="43"/>
      <c r="C247" s="8"/>
      <c r="D247" s="8"/>
      <c r="E247" s="8"/>
      <c r="F247" s="14" t="s">
        <v>100</v>
      </c>
      <c r="G247" s="30" t="s">
        <v>100</v>
      </c>
      <c r="H247" s="30" t="s">
        <v>100</v>
      </c>
      <c r="I247" s="329"/>
      <c r="J247" s="33"/>
      <c r="K247" s="33"/>
      <c r="L247" s="33"/>
      <c r="M247" s="33"/>
      <c r="N247" s="59" t="s">
        <v>100</v>
      </c>
      <c r="O247" s="49"/>
      <c r="P247" s="49"/>
      <c r="Q247" s="49"/>
      <c r="R247" s="49"/>
      <c r="S247" s="49"/>
      <c r="T247" s="49"/>
      <c r="U247" s="49"/>
      <c r="V247" s="49"/>
      <c r="W247" s="49"/>
      <c r="X247" s="183"/>
    </row>
    <row r="248" spans="1:24">
      <c r="A248" s="43">
        <v>242</v>
      </c>
      <c r="B248" s="43"/>
      <c r="C248" s="8"/>
      <c r="D248" s="8"/>
      <c r="E248" s="8"/>
      <c r="F248" s="14" t="s">
        <v>100</v>
      </c>
      <c r="G248" s="30" t="s">
        <v>100</v>
      </c>
      <c r="H248" s="30" t="s">
        <v>100</v>
      </c>
      <c r="I248" s="329"/>
      <c r="J248" s="33"/>
      <c r="K248" s="33"/>
      <c r="L248" s="33"/>
      <c r="M248" s="33"/>
      <c r="N248" s="59" t="s">
        <v>100</v>
      </c>
      <c r="O248" s="49"/>
      <c r="P248" s="49"/>
      <c r="Q248" s="49"/>
      <c r="R248" s="49"/>
      <c r="S248" s="49"/>
      <c r="T248" s="49"/>
      <c r="U248" s="49"/>
      <c r="V248" s="49"/>
      <c r="W248" s="49"/>
      <c r="X248" s="183"/>
    </row>
    <row r="249" spans="1:24">
      <c r="A249" s="43">
        <v>243</v>
      </c>
      <c r="B249" s="43"/>
      <c r="C249" s="8"/>
      <c r="D249" s="8"/>
      <c r="E249" s="8"/>
      <c r="F249" s="14" t="s">
        <v>100</v>
      </c>
      <c r="G249" s="30" t="s">
        <v>100</v>
      </c>
      <c r="H249" s="30" t="s">
        <v>100</v>
      </c>
      <c r="I249" s="329"/>
      <c r="J249" s="33"/>
      <c r="K249" s="33"/>
      <c r="L249" s="33"/>
      <c r="M249" s="33"/>
      <c r="N249" s="59" t="s">
        <v>100</v>
      </c>
      <c r="O249" s="49"/>
      <c r="P249" s="49"/>
      <c r="Q249" s="49"/>
      <c r="R249" s="49"/>
      <c r="S249" s="49"/>
      <c r="T249" s="49"/>
      <c r="U249" s="49"/>
      <c r="V249" s="49"/>
      <c r="W249" s="49"/>
      <c r="X249" s="183"/>
    </row>
    <row r="250" spans="1:24">
      <c r="A250" s="43">
        <v>244</v>
      </c>
      <c r="B250" s="43"/>
      <c r="C250" s="8"/>
      <c r="D250" s="8"/>
      <c r="E250" s="8"/>
      <c r="F250" s="14" t="s">
        <v>100</v>
      </c>
      <c r="G250" s="30" t="s">
        <v>100</v>
      </c>
      <c r="H250" s="30" t="s">
        <v>100</v>
      </c>
      <c r="I250" s="329"/>
      <c r="J250" s="33"/>
      <c r="K250" s="33"/>
      <c r="L250" s="33"/>
      <c r="M250" s="33"/>
      <c r="N250" s="59" t="s">
        <v>100</v>
      </c>
      <c r="O250" s="49"/>
      <c r="P250" s="49"/>
      <c r="Q250" s="49"/>
      <c r="R250" s="49"/>
      <c r="S250" s="49"/>
      <c r="T250" s="49"/>
      <c r="U250" s="49"/>
      <c r="V250" s="49"/>
      <c r="W250" s="49"/>
      <c r="X250" s="183"/>
    </row>
    <row r="251" spans="1:24">
      <c r="A251" s="43">
        <v>245</v>
      </c>
      <c r="B251" s="43"/>
      <c r="C251" s="8"/>
      <c r="D251" s="8"/>
      <c r="E251" s="8"/>
      <c r="F251" s="14" t="s">
        <v>100</v>
      </c>
      <c r="G251" s="30" t="s">
        <v>100</v>
      </c>
      <c r="H251" s="30" t="s">
        <v>100</v>
      </c>
      <c r="I251" s="329"/>
      <c r="J251" s="33"/>
      <c r="K251" s="33"/>
      <c r="L251" s="33"/>
      <c r="M251" s="33"/>
      <c r="N251" s="59" t="s">
        <v>100</v>
      </c>
      <c r="O251" s="49"/>
      <c r="P251" s="49"/>
      <c r="Q251" s="49"/>
      <c r="R251" s="49"/>
      <c r="S251" s="49"/>
      <c r="T251" s="49"/>
      <c r="U251" s="49"/>
      <c r="V251" s="49"/>
      <c r="W251" s="49"/>
      <c r="X251" s="183"/>
    </row>
    <row r="252" spans="1:24">
      <c r="A252" s="43">
        <v>246</v>
      </c>
      <c r="B252" s="43"/>
      <c r="C252" s="8"/>
      <c r="D252" s="8"/>
      <c r="E252" s="8"/>
      <c r="F252" s="14" t="s">
        <v>100</v>
      </c>
      <c r="G252" s="30" t="s">
        <v>100</v>
      </c>
      <c r="H252" s="30" t="s">
        <v>100</v>
      </c>
      <c r="I252" s="329"/>
      <c r="J252" s="33"/>
      <c r="K252" s="33"/>
      <c r="L252" s="33"/>
      <c r="M252" s="33"/>
      <c r="N252" s="59" t="s">
        <v>100</v>
      </c>
      <c r="O252" s="49"/>
      <c r="P252" s="49"/>
      <c r="Q252" s="49"/>
      <c r="R252" s="49"/>
      <c r="S252" s="49"/>
      <c r="T252" s="49"/>
      <c r="U252" s="49"/>
      <c r="V252" s="49"/>
      <c r="W252" s="49"/>
      <c r="X252" s="183"/>
    </row>
    <row r="253" spans="1:24">
      <c r="A253" s="43">
        <v>247</v>
      </c>
      <c r="B253" s="43"/>
      <c r="C253" s="8"/>
      <c r="D253" s="8"/>
      <c r="E253" s="8"/>
      <c r="F253" s="14" t="s">
        <v>100</v>
      </c>
      <c r="G253" s="30" t="s">
        <v>100</v>
      </c>
      <c r="H253" s="30" t="s">
        <v>100</v>
      </c>
      <c r="I253" s="329"/>
      <c r="J253" s="33"/>
      <c r="K253" s="33"/>
      <c r="L253" s="33"/>
      <c r="M253" s="33"/>
      <c r="N253" s="59" t="s">
        <v>100</v>
      </c>
      <c r="O253" s="49"/>
      <c r="P253" s="49"/>
      <c r="Q253" s="49"/>
      <c r="R253" s="49"/>
      <c r="S253" s="49"/>
      <c r="T253" s="49"/>
      <c r="U253" s="49"/>
      <c r="V253" s="49"/>
      <c r="W253" s="49"/>
      <c r="X253" s="183"/>
    </row>
    <row r="254" spans="1:24">
      <c r="A254" s="43">
        <v>248</v>
      </c>
      <c r="B254" s="43"/>
      <c r="C254" s="8"/>
      <c r="D254" s="8"/>
      <c r="E254" s="8"/>
      <c r="F254" s="14" t="s">
        <v>100</v>
      </c>
      <c r="G254" s="30" t="s">
        <v>100</v>
      </c>
      <c r="H254" s="30" t="s">
        <v>100</v>
      </c>
      <c r="I254" s="329"/>
      <c r="J254" s="33"/>
      <c r="K254" s="33"/>
      <c r="L254" s="33"/>
      <c r="M254" s="33"/>
      <c r="N254" s="59" t="s">
        <v>100</v>
      </c>
      <c r="O254" s="49"/>
      <c r="P254" s="49"/>
      <c r="Q254" s="49"/>
      <c r="R254" s="49"/>
      <c r="S254" s="49"/>
      <c r="T254" s="49"/>
      <c r="U254" s="49"/>
      <c r="V254" s="49"/>
      <c r="W254" s="49"/>
      <c r="X254" s="183"/>
    </row>
    <row r="255" spans="1:24">
      <c r="A255" s="43">
        <v>249</v>
      </c>
      <c r="B255" s="43"/>
      <c r="C255" s="8"/>
      <c r="D255" s="8"/>
      <c r="E255" s="8"/>
      <c r="F255" s="14" t="s">
        <v>100</v>
      </c>
      <c r="G255" s="30" t="s">
        <v>100</v>
      </c>
      <c r="H255" s="30" t="s">
        <v>100</v>
      </c>
      <c r="I255" s="329"/>
      <c r="J255" s="33"/>
      <c r="K255" s="33"/>
      <c r="L255" s="33"/>
      <c r="M255" s="33"/>
      <c r="N255" s="59" t="s">
        <v>100</v>
      </c>
      <c r="O255" s="49"/>
      <c r="P255" s="49"/>
      <c r="Q255" s="49"/>
      <c r="R255" s="49"/>
      <c r="S255" s="49"/>
      <c r="T255" s="49"/>
      <c r="U255" s="49"/>
      <c r="V255" s="49"/>
      <c r="W255" s="49"/>
      <c r="X255" s="183"/>
    </row>
    <row r="256" spans="1:24">
      <c r="A256" s="43">
        <v>250</v>
      </c>
      <c r="B256" s="43"/>
      <c r="C256" s="8"/>
      <c r="D256" s="8"/>
      <c r="E256" s="8"/>
      <c r="F256" s="14" t="s">
        <v>100</v>
      </c>
      <c r="G256" s="30" t="s">
        <v>100</v>
      </c>
      <c r="H256" s="30" t="s">
        <v>100</v>
      </c>
      <c r="I256" s="329"/>
      <c r="J256" s="33"/>
      <c r="K256" s="33"/>
      <c r="L256" s="33"/>
      <c r="M256" s="33"/>
      <c r="N256" s="59" t="s">
        <v>100</v>
      </c>
      <c r="O256" s="49"/>
      <c r="P256" s="49"/>
      <c r="Q256" s="49"/>
      <c r="R256" s="49"/>
      <c r="S256" s="49"/>
      <c r="T256" s="49"/>
      <c r="U256" s="49"/>
      <c r="V256" s="49"/>
      <c r="W256" s="49"/>
      <c r="X256" s="183"/>
    </row>
    <row r="257" spans="1:24">
      <c r="A257" s="43">
        <v>251</v>
      </c>
      <c r="B257" s="43"/>
      <c r="C257" s="8"/>
      <c r="D257" s="8"/>
      <c r="E257" s="8"/>
      <c r="F257" s="14" t="s">
        <v>100</v>
      </c>
      <c r="G257" s="30" t="s">
        <v>100</v>
      </c>
      <c r="H257" s="30" t="s">
        <v>100</v>
      </c>
      <c r="I257" s="329"/>
      <c r="J257" s="33"/>
      <c r="K257" s="33"/>
      <c r="L257" s="33"/>
      <c r="M257" s="33"/>
      <c r="N257" s="59" t="s">
        <v>100</v>
      </c>
      <c r="O257" s="49"/>
      <c r="P257" s="49"/>
      <c r="Q257" s="49"/>
      <c r="R257" s="49"/>
      <c r="S257" s="49"/>
      <c r="T257" s="49"/>
      <c r="U257" s="49"/>
      <c r="V257" s="49"/>
      <c r="W257" s="49"/>
      <c r="X257" s="183"/>
    </row>
    <row r="258" spans="1:24">
      <c r="A258" s="43">
        <v>252</v>
      </c>
      <c r="B258" s="43"/>
      <c r="C258" s="8"/>
      <c r="D258" s="8"/>
      <c r="E258" s="8"/>
      <c r="F258" s="14" t="s">
        <v>100</v>
      </c>
      <c r="G258" s="30" t="s">
        <v>100</v>
      </c>
      <c r="H258" s="30" t="s">
        <v>100</v>
      </c>
      <c r="I258" s="329"/>
      <c r="J258" s="33"/>
      <c r="K258" s="33"/>
      <c r="L258" s="33"/>
      <c r="M258" s="33"/>
      <c r="N258" s="59" t="s">
        <v>100</v>
      </c>
      <c r="O258" s="49"/>
      <c r="P258" s="49"/>
      <c r="Q258" s="49"/>
      <c r="R258" s="49"/>
      <c r="S258" s="49"/>
      <c r="T258" s="49"/>
      <c r="U258" s="49"/>
      <c r="V258" s="49"/>
      <c r="W258" s="49"/>
      <c r="X258" s="183"/>
    </row>
    <row r="259" spans="1:24">
      <c r="A259" s="43">
        <v>253</v>
      </c>
      <c r="B259" s="43"/>
      <c r="C259" s="8"/>
      <c r="D259" s="8"/>
      <c r="E259" s="8"/>
      <c r="F259" s="14" t="s">
        <v>100</v>
      </c>
      <c r="G259" s="30" t="s">
        <v>100</v>
      </c>
      <c r="H259" s="30" t="s">
        <v>100</v>
      </c>
      <c r="I259" s="329"/>
      <c r="J259" s="33"/>
      <c r="K259" s="33"/>
      <c r="L259" s="33"/>
      <c r="M259" s="33"/>
      <c r="N259" s="59" t="s">
        <v>100</v>
      </c>
      <c r="O259" s="49"/>
      <c r="P259" s="49"/>
      <c r="Q259" s="49"/>
      <c r="R259" s="49"/>
      <c r="S259" s="49"/>
      <c r="T259" s="49"/>
      <c r="U259" s="49"/>
      <c r="V259" s="49"/>
      <c r="W259" s="49"/>
      <c r="X259" s="183"/>
    </row>
    <row r="260" spans="1:24">
      <c r="A260" s="43">
        <v>254</v>
      </c>
      <c r="B260" s="43"/>
      <c r="C260" s="8"/>
      <c r="D260" s="8"/>
      <c r="E260" s="8"/>
      <c r="F260" s="14" t="s">
        <v>100</v>
      </c>
      <c r="G260" s="30" t="s">
        <v>100</v>
      </c>
      <c r="H260" s="30" t="s">
        <v>100</v>
      </c>
      <c r="I260" s="329"/>
      <c r="J260" s="33"/>
      <c r="K260" s="33"/>
      <c r="L260" s="33"/>
      <c r="M260" s="33"/>
      <c r="N260" s="59" t="s">
        <v>100</v>
      </c>
      <c r="O260" s="49"/>
      <c r="P260" s="49"/>
      <c r="Q260" s="49"/>
      <c r="R260" s="49"/>
      <c r="S260" s="49"/>
      <c r="T260" s="49"/>
      <c r="U260" s="49"/>
      <c r="V260" s="49"/>
      <c r="W260" s="49"/>
      <c r="X260" s="183"/>
    </row>
    <row r="261" spans="1:24">
      <c r="A261" s="43">
        <v>255</v>
      </c>
      <c r="B261" s="43"/>
      <c r="C261" s="8"/>
      <c r="D261" s="8"/>
      <c r="E261" s="8"/>
      <c r="F261" s="14" t="s">
        <v>100</v>
      </c>
      <c r="G261" s="30" t="s">
        <v>100</v>
      </c>
      <c r="H261" s="30" t="s">
        <v>100</v>
      </c>
      <c r="I261" s="329"/>
      <c r="J261" s="33"/>
      <c r="K261" s="33"/>
      <c r="L261" s="33"/>
      <c r="M261" s="33"/>
      <c r="N261" s="59" t="s">
        <v>100</v>
      </c>
      <c r="O261" s="49"/>
      <c r="P261" s="49"/>
      <c r="Q261" s="49"/>
      <c r="R261" s="49"/>
      <c r="S261" s="49"/>
      <c r="T261" s="49"/>
      <c r="U261" s="49"/>
      <c r="V261" s="49"/>
      <c r="W261" s="49"/>
      <c r="X261" s="183"/>
    </row>
    <row r="262" spans="1:24">
      <c r="A262" s="43">
        <v>256</v>
      </c>
      <c r="B262" s="43"/>
      <c r="C262" s="8"/>
      <c r="D262" s="8"/>
      <c r="E262" s="8"/>
      <c r="F262" s="14" t="s">
        <v>100</v>
      </c>
      <c r="G262" s="30" t="s">
        <v>100</v>
      </c>
      <c r="H262" s="30" t="s">
        <v>100</v>
      </c>
      <c r="I262" s="329"/>
      <c r="J262" s="33"/>
      <c r="K262" s="33"/>
      <c r="L262" s="33"/>
      <c r="M262" s="33"/>
      <c r="N262" s="59" t="s">
        <v>100</v>
      </c>
      <c r="O262" s="49"/>
      <c r="P262" s="49"/>
      <c r="Q262" s="49"/>
      <c r="R262" s="49"/>
      <c r="S262" s="49"/>
      <c r="T262" s="49"/>
      <c r="U262" s="49"/>
      <c r="V262" s="49"/>
      <c r="W262" s="49"/>
      <c r="X262" s="183"/>
    </row>
    <row r="263" spans="1:24">
      <c r="A263" s="43">
        <v>257</v>
      </c>
      <c r="B263" s="43"/>
      <c r="C263" s="8"/>
      <c r="D263" s="8"/>
      <c r="E263" s="8"/>
      <c r="F263" s="14" t="s">
        <v>100</v>
      </c>
      <c r="G263" s="30" t="s">
        <v>100</v>
      </c>
      <c r="H263" s="30" t="s">
        <v>100</v>
      </c>
      <c r="I263" s="329"/>
      <c r="J263" s="33"/>
      <c r="K263" s="33"/>
      <c r="L263" s="33"/>
      <c r="M263" s="33"/>
      <c r="N263" s="59" t="s">
        <v>100</v>
      </c>
      <c r="O263" s="49"/>
      <c r="P263" s="49"/>
      <c r="Q263" s="49"/>
      <c r="R263" s="49"/>
      <c r="S263" s="49"/>
      <c r="T263" s="49"/>
      <c r="U263" s="49"/>
      <c r="V263" s="49"/>
      <c r="W263" s="49"/>
      <c r="X263" s="183"/>
    </row>
    <row r="264" spans="1:24">
      <c r="A264" s="43">
        <v>258</v>
      </c>
      <c r="B264" s="43"/>
      <c r="C264" s="8"/>
      <c r="D264" s="8"/>
      <c r="E264" s="8"/>
      <c r="F264" s="14" t="s">
        <v>100</v>
      </c>
      <c r="G264" s="30" t="s">
        <v>100</v>
      </c>
      <c r="H264" s="30" t="s">
        <v>100</v>
      </c>
      <c r="I264" s="329"/>
      <c r="J264" s="33"/>
      <c r="K264" s="33"/>
      <c r="L264" s="33"/>
      <c r="M264" s="33"/>
      <c r="N264" s="59" t="s">
        <v>100</v>
      </c>
      <c r="O264" s="49"/>
      <c r="P264" s="49"/>
      <c r="Q264" s="49"/>
      <c r="R264" s="49"/>
      <c r="S264" s="49"/>
      <c r="T264" s="49"/>
      <c r="U264" s="49"/>
      <c r="V264" s="49"/>
      <c r="W264" s="49"/>
      <c r="X264" s="183"/>
    </row>
    <row r="265" spans="1:24">
      <c r="A265" s="43">
        <v>259</v>
      </c>
      <c r="B265" s="43"/>
      <c r="C265" s="8"/>
      <c r="D265" s="8"/>
      <c r="E265" s="8"/>
      <c r="F265" s="14" t="s">
        <v>100</v>
      </c>
      <c r="G265" s="30" t="s">
        <v>100</v>
      </c>
      <c r="H265" s="30" t="s">
        <v>100</v>
      </c>
      <c r="I265" s="329"/>
      <c r="J265" s="33"/>
      <c r="K265" s="33"/>
      <c r="L265" s="33"/>
      <c r="M265" s="33"/>
      <c r="N265" s="59" t="s">
        <v>100</v>
      </c>
      <c r="O265" s="49"/>
      <c r="P265" s="49"/>
      <c r="Q265" s="49"/>
      <c r="R265" s="49"/>
      <c r="S265" s="49"/>
      <c r="T265" s="49"/>
      <c r="U265" s="49"/>
      <c r="V265" s="49"/>
      <c r="W265" s="49"/>
      <c r="X265" s="183"/>
    </row>
    <row r="266" spans="1:24">
      <c r="A266" s="43">
        <v>260</v>
      </c>
      <c r="B266" s="43"/>
      <c r="C266" s="8"/>
      <c r="D266" s="8"/>
      <c r="E266" s="8"/>
      <c r="F266" s="14" t="s">
        <v>100</v>
      </c>
      <c r="G266" s="30" t="s">
        <v>100</v>
      </c>
      <c r="H266" s="30" t="s">
        <v>100</v>
      </c>
      <c r="I266" s="329"/>
      <c r="J266" s="33"/>
      <c r="K266" s="33"/>
      <c r="L266" s="33"/>
      <c r="M266" s="33"/>
      <c r="N266" s="59" t="s">
        <v>100</v>
      </c>
      <c r="O266" s="49"/>
      <c r="P266" s="49"/>
      <c r="Q266" s="49"/>
      <c r="R266" s="49"/>
      <c r="S266" s="49"/>
      <c r="T266" s="49"/>
      <c r="U266" s="49"/>
      <c r="V266" s="49"/>
      <c r="W266" s="49"/>
      <c r="X266" s="183"/>
    </row>
    <row r="267" spans="1:24">
      <c r="A267" s="43">
        <v>261</v>
      </c>
      <c r="B267" s="43"/>
      <c r="C267" s="8"/>
      <c r="D267" s="8"/>
      <c r="E267" s="8"/>
      <c r="F267" s="14" t="s">
        <v>100</v>
      </c>
      <c r="G267" s="30" t="s">
        <v>100</v>
      </c>
      <c r="H267" s="30" t="s">
        <v>100</v>
      </c>
      <c r="I267" s="329"/>
      <c r="J267" s="33"/>
      <c r="K267" s="33"/>
      <c r="L267" s="33"/>
      <c r="M267" s="33"/>
      <c r="N267" s="59" t="s">
        <v>100</v>
      </c>
      <c r="O267" s="49"/>
      <c r="P267" s="49"/>
      <c r="Q267" s="49"/>
      <c r="R267" s="49"/>
      <c r="S267" s="49"/>
      <c r="T267" s="49"/>
      <c r="U267" s="49"/>
      <c r="V267" s="49"/>
      <c r="W267" s="49"/>
      <c r="X267" s="183"/>
    </row>
    <row r="268" spans="1:24">
      <c r="A268" s="43">
        <v>262</v>
      </c>
      <c r="B268" s="43"/>
      <c r="C268" s="8"/>
      <c r="D268" s="8"/>
      <c r="E268" s="8"/>
      <c r="F268" s="14" t="s">
        <v>100</v>
      </c>
      <c r="G268" s="30" t="s">
        <v>100</v>
      </c>
      <c r="H268" s="30" t="s">
        <v>100</v>
      </c>
      <c r="I268" s="329"/>
      <c r="J268" s="33"/>
      <c r="K268" s="33"/>
      <c r="L268" s="33"/>
      <c r="M268" s="33"/>
      <c r="N268" s="59" t="s">
        <v>100</v>
      </c>
      <c r="O268" s="49"/>
      <c r="P268" s="49"/>
      <c r="Q268" s="49"/>
      <c r="R268" s="49"/>
      <c r="S268" s="49"/>
      <c r="T268" s="49"/>
      <c r="U268" s="49"/>
      <c r="V268" s="49"/>
      <c r="W268" s="49"/>
      <c r="X268" s="183"/>
    </row>
    <row r="269" spans="1:24">
      <c r="A269" s="43">
        <v>263</v>
      </c>
      <c r="B269" s="43"/>
      <c r="C269" s="8"/>
      <c r="D269" s="8"/>
      <c r="E269" s="8"/>
      <c r="F269" s="14" t="s">
        <v>100</v>
      </c>
      <c r="G269" s="30" t="s">
        <v>100</v>
      </c>
      <c r="H269" s="30" t="s">
        <v>100</v>
      </c>
      <c r="I269" s="329"/>
      <c r="J269" s="33"/>
      <c r="K269" s="33"/>
      <c r="L269" s="33"/>
      <c r="M269" s="33"/>
      <c r="N269" s="59" t="s">
        <v>100</v>
      </c>
      <c r="O269" s="49"/>
      <c r="P269" s="49"/>
      <c r="Q269" s="49"/>
      <c r="R269" s="49"/>
      <c r="S269" s="49"/>
      <c r="T269" s="49"/>
      <c r="U269" s="49"/>
      <c r="V269" s="49"/>
      <c r="W269" s="49"/>
      <c r="X269" s="183"/>
    </row>
    <row r="270" spans="1:24">
      <c r="A270" s="43">
        <v>264</v>
      </c>
      <c r="B270" s="43"/>
      <c r="C270" s="8"/>
      <c r="D270" s="8"/>
      <c r="E270" s="8"/>
      <c r="F270" s="14" t="s">
        <v>100</v>
      </c>
      <c r="G270" s="30" t="s">
        <v>100</v>
      </c>
      <c r="H270" s="30" t="s">
        <v>100</v>
      </c>
      <c r="I270" s="329"/>
      <c r="J270" s="33"/>
      <c r="K270" s="33"/>
      <c r="L270" s="33"/>
      <c r="M270" s="33"/>
      <c r="N270" s="59" t="s">
        <v>100</v>
      </c>
      <c r="O270" s="49"/>
      <c r="P270" s="49"/>
      <c r="Q270" s="49"/>
      <c r="R270" s="49"/>
      <c r="S270" s="49"/>
      <c r="T270" s="49"/>
      <c r="U270" s="49"/>
      <c r="V270" s="49"/>
      <c r="W270" s="49"/>
      <c r="X270" s="183"/>
    </row>
    <row r="271" spans="1:24">
      <c r="A271" s="43">
        <v>265</v>
      </c>
      <c r="B271" s="43"/>
      <c r="C271" s="8"/>
      <c r="D271" s="8"/>
      <c r="E271" s="8"/>
      <c r="F271" s="14" t="s">
        <v>100</v>
      </c>
      <c r="G271" s="30" t="s">
        <v>100</v>
      </c>
      <c r="H271" s="30" t="s">
        <v>100</v>
      </c>
      <c r="I271" s="329"/>
      <c r="J271" s="33"/>
      <c r="K271" s="33"/>
      <c r="L271" s="33"/>
      <c r="M271" s="33"/>
      <c r="N271" s="59" t="s">
        <v>100</v>
      </c>
      <c r="O271" s="49"/>
      <c r="P271" s="49"/>
      <c r="Q271" s="49"/>
      <c r="R271" s="49"/>
      <c r="S271" s="49"/>
      <c r="T271" s="49"/>
      <c r="U271" s="49"/>
      <c r="V271" s="49"/>
      <c r="W271" s="49"/>
      <c r="X271" s="183"/>
    </row>
    <row r="272" spans="1:24">
      <c r="A272" s="43">
        <v>266</v>
      </c>
      <c r="B272" s="43"/>
      <c r="C272" s="8"/>
      <c r="D272" s="8"/>
      <c r="E272" s="8"/>
      <c r="F272" s="14" t="s">
        <v>100</v>
      </c>
      <c r="G272" s="30" t="s">
        <v>100</v>
      </c>
      <c r="H272" s="30" t="s">
        <v>100</v>
      </c>
      <c r="I272" s="329"/>
      <c r="J272" s="33"/>
      <c r="K272" s="33"/>
      <c r="L272" s="33"/>
      <c r="M272" s="33"/>
      <c r="N272" s="59" t="s">
        <v>100</v>
      </c>
      <c r="O272" s="49"/>
      <c r="P272" s="49"/>
      <c r="Q272" s="49"/>
      <c r="R272" s="49"/>
      <c r="S272" s="49"/>
      <c r="T272" s="49"/>
      <c r="U272" s="49"/>
      <c r="V272" s="49"/>
      <c r="W272" s="49"/>
      <c r="X272" s="183"/>
    </row>
    <row r="273" spans="1:24">
      <c r="A273" s="43">
        <v>267</v>
      </c>
      <c r="B273" s="43"/>
      <c r="C273" s="8"/>
      <c r="D273" s="8"/>
      <c r="E273" s="8"/>
      <c r="F273" s="14" t="s">
        <v>100</v>
      </c>
      <c r="G273" s="30" t="s">
        <v>100</v>
      </c>
      <c r="H273" s="30" t="s">
        <v>100</v>
      </c>
      <c r="I273" s="329"/>
      <c r="J273" s="33"/>
      <c r="K273" s="33"/>
      <c r="L273" s="33"/>
      <c r="M273" s="33"/>
      <c r="N273" s="59" t="s">
        <v>100</v>
      </c>
      <c r="O273" s="49"/>
      <c r="P273" s="49"/>
      <c r="Q273" s="49"/>
      <c r="R273" s="49"/>
      <c r="S273" s="49"/>
      <c r="T273" s="49"/>
      <c r="U273" s="49"/>
      <c r="V273" s="49"/>
      <c r="W273" s="49"/>
      <c r="X273" s="183"/>
    </row>
    <row r="274" spans="1:24">
      <c r="A274" s="43">
        <v>268</v>
      </c>
      <c r="B274" s="43"/>
      <c r="C274" s="8"/>
      <c r="D274" s="8"/>
      <c r="E274" s="8"/>
      <c r="F274" s="14" t="s">
        <v>100</v>
      </c>
      <c r="G274" s="30" t="s">
        <v>100</v>
      </c>
      <c r="H274" s="30" t="s">
        <v>100</v>
      </c>
      <c r="I274" s="329"/>
      <c r="J274" s="33"/>
      <c r="K274" s="33"/>
      <c r="L274" s="33"/>
      <c r="M274" s="33"/>
      <c r="N274" s="59" t="s">
        <v>100</v>
      </c>
      <c r="O274" s="49"/>
      <c r="P274" s="49"/>
      <c r="Q274" s="49"/>
      <c r="R274" s="49"/>
      <c r="S274" s="49"/>
      <c r="T274" s="49"/>
      <c r="U274" s="49"/>
      <c r="V274" s="49"/>
      <c r="W274" s="49"/>
      <c r="X274" s="183"/>
    </row>
    <row r="275" spans="1:24">
      <c r="A275" s="43">
        <v>269</v>
      </c>
      <c r="B275" s="43"/>
      <c r="C275" s="8"/>
      <c r="D275" s="8"/>
      <c r="E275" s="8"/>
      <c r="F275" s="14" t="s">
        <v>100</v>
      </c>
      <c r="G275" s="30" t="s">
        <v>100</v>
      </c>
      <c r="H275" s="30" t="s">
        <v>100</v>
      </c>
      <c r="I275" s="329"/>
      <c r="J275" s="33"/>
      <c r="K275" s="33"/>
      <c r="L275" s="33"/>
      <c r="M275" s="33"/>
      <c r="N275" s="59" t="s">
        <v>100</v>
      </c>
      <c r="O275" s="49"/>
      <c r="P275" s="49"/>
      <c r="Q275" s="49"/>
      <c r="R275" s="49"/>
      <c r="S275" s="49"/>
      <c r="T275" s="49"/>
      <c r="U275" s="49"/>
      <c r="V275" s="49"/>
      <c r="W275" s="49"/>
      <c r="X275" s="183"/>
    </row>
    <row r="276" spans="1:24">
      <c r="A276" s="43">
        <v>270</v>
      </c>
      <c r="B276" s="43"/>
      <c r="C276" s="8"/>
      <c r="D276" s="8"/>
      <c r="E276" s="8"/>
      <c r="F276" s="14" t="s">
        <v>100</v>
      </c>
      <c r="G276" s="30" t="s">
        <v>100</v>
      </c>
      <c r="H276" s="30" t="s">
        <v>100</v>
      </c>
      <c r="I276" s="329"/>
      <c r="J276" s="33"/>
      <c r="K276" s="33"/>
      <c r="L276" s="33"/>
      <c r="M276" s="33"/>
      <c r="N276" s="59" t="s">
        <v>100</v>
      </c>
      <c r="O276" s="49"/>
      <c r="P276" s="49"/>
      <c r="Q276" s="49"/>
      <c r="R276" s="49"/>
      <c r="S276" s="49"/>
      <c r="T276" s="49"/>
      <c r="U276" s="49"/>
      <c r="V276" s="49"/>
      <c r="W276" s="49"/>
      <c r="X276" s="183"/>
    </row>
    <row r="277" spans="1:24">
      <c r="A277" s="43">
        <v>271</v>
      </c>
      <c r="B277" s="43"/>
      <c r="C277" s="8"/>
      <c r="D277" s="8"/>
      <c r="E277" s="8"/>
      <c r="F277" s="14" t="s">
        <v>100</v>
      </c>
      <c r="G277" s="30" t="s">
        <v>100</v>
      </c>
      <c r="H277" s="30" t="s">
        <v>100</v>
      </c>
      <c r="I277" s="329"/>
      <c r="J277" s="33"/>
      <c r="K277" s="33"/>
      <c r="L277" s="33"/>
      <c r="M277" s="33"/>
      <c r="N277" s="59" t="s">
        <v>100</v>
      </c>
      <c r="O277" s="49"/>
      <c r="P277" s="49"/>
      <c r="Q277" s="49"/>
      <c r="R277" s="49"/>
      <c r="S277" s="49"/>
      <c r="T277" s="49"/>
      <c r="U277" s="49"/>
      <c r="V277" s="49"/>
      <c r="W277" s="49"/>
      <c r="X277" s="183"/>
    </row>
    <row r="278" spans="1:24">
      <c r="A278" s="43">
        <v>272</v>
      </c>
      <c r="B278" s="43"/>
      <c r="C278" s="8"/>
      <c r="D278" s="8"/>
      <c r="E278" s="8"/>
      <c r="F278" s="14" t="s">
        <v>100</v>
      </c>
      <c r="G278" s="30" t="s">
        <v>100</v>
      </c>
      <c r="H278" s="30" t="s">
        <v>100</v>
      </c>
      <c r="I278" s="329"/>
      <c r="J278" s="33"/>
      <c r="K278" s="33"/>
      <c r="L278" s="33"/>
      <c r="M278" s="33"/>
      <c r="N278" s="59" t="s">
        <v>100</v>
      </c>
      <c r="O278" s="49"/>
      <c r="P278" s="49"/>
      <c r="Q278" s="49"/>
      <c r="R278" s="49"/>
      <c r="S278" s="49"/>
      <c r="T278" s="49"/>
      <c r="U278" s="49"/>
      <c r="V278" s="49"/>
      <c r="W278" s="49"/>
      <c r="X278" s="183"/>
    </row>
    <row r="279" spans="1:24">
      <c r="A279" s="43">
        <v>273</v>
      </c>
      <c r="B279" s="43"/>
      <c r="C279" s="8"/>
      <c r="D279" s="8"/>
      <c r="E279" s="8"/>
      <c r="F279" s="14" t="s">
        <v>100</v>
      </c>
      <c r="G279" s="30" t="s">
        <v>100</v>
      </c>
      <c r="H279" s="30" t="s">
        <v>100</v>
      </c>
      <c r="I279" s="329"/>
      <c r="J279" s="33"/>
      <c r="K279" s="33"/>
      <c r="L279" s="33"/>
      <c r="M279" s="33"/>
      <c r="N279" s="59" t="s">
        <v>100</v>
      </c>
      <c r="O279" s="49"/>
      <c r="P279" s="49"/>
      <c r="Q279" s="49"/>
      <c r="R279" s="49"/>
      <c r="S279" s="49"/>
      <c r="T279" s="49"/>
      <c r="U279" s="49"/>
      <c r="V279" s="49"/>
      <c r="W279" s="49"/>
      <c r="X279" s="183"/>
    </row>
    <row r="280" spans="1:24">
      <c r="A280" s="43">
        <v>274</v>
      </c>
      <c r="B280" s="43"/>
      <c r="C280" s="8"/>
      <c r="D280" s="8"/>
      <c r="E280" s="8"/>
      <c r="F280" s="14" t="s">
        <v>100</v>
      </c>
      <c r="G280" s="30" t="s">
        <v>100</v>
      </c>
      <c r="H280" s="30" t="s">
        <v>100</v>
      </c>
      <c r="I280" s="329"/>
      <c r="J280" s="33"/>
      <c r="K280" s="33"/>
      <c r="L280" s="33"/>
      <c r="M280" s="33"/>
      <c r="N280" s="59" t="s">
        <v>100</v>
      </c>
      <c r="O280" s="49"/>
      <c r="P280" s="49"/>
      <c r="Q280" s="49"/>
      <c r="R280" s="49"/>
      <c r="S280" s="49"/>
      <c r="T280" s="49"/>
      <c r="U280" s="49"/>
      <c r="V280" s="49"/>
      <c r="W280" s="49"/>
      <c r="X280" s="183"/>
    </row>
    <row r="281" spans="1:24">
      <c r="A281" s="43">
        <v>275</v>
      </c>
      <c r="B281" s="43"/>
      <c r="C281" s="8"/>
      <c r="D281" s="8"/>
      <c r="E281" s="8"/>
      <c r="F281" s="14" t="s">
        <v>100</v>
      </c>
      <c r="G281" s="30" t="s">
        <v>100</v>
      </c>
      <c r="H281" s="30" t="s">
        <v>100</v>
      </c>
      <c r="I281" s="329"/>
      <c r="J281" s="33"/>
      <c r="K281" s="33"/>
      <c r="L281" s="33"/>
      <c r="M281" s="33"/>
      <c r="N281" s="59" t="s">
        <v>100</v>
      </c>
      <c r="O281" s="49"/>
      <c r="P281" s="49"/>
      <c r="Q281" s="49"/>
      <c r="R281" s="49"/>
      <c r="S281" s="49"/>
      <c r="T281" s="49"/>
      <c r="U281" s="49"/>
      <c r="V281" s="49"/>
      <c r="W281" s="49"/>
      <c r="X281" s="183"/>
    </row>
    <row r="282" spans="1:24">
      <c r="A282" s="43">
        <v>276</v>
      </c>
      <c r="B282" s="43"/>
      <c r="C282" s="8"/>
      <c r="D282" s="8"/>
      <c r="E282" s="8"/>
      <c r="F282" s="14" t="s">
        <v>100</v>
      </c>
      <c r="G282" s="30" t="s">
        <v>100</v>
      </c>
      <c r="H282" s="30" t="s">
        <v>100</v>
      </c>
      <c r="I282" s="329"/>
      <c r="J282" s="33"/>
      <c r="K282" s="33"/>
      <c r="L282" s="33"/>
      <c r="M282" s="33"/>
      <c r="N282" s="59" t="s">
        <v>100</v>
      </c>
      <c r="O282" s="49"/>
      <c r="P282" s="49"/>
      <c r="Q282" s="49"/>
      <c r="R282" s="49"/>
      <c r="S282" s="49"/>
      <c r="T282" s="49"/>
      <c r="U282" s="49"/>
      <c r="V282" s="49"/>
      <c r="W282" s="49"/>
      <c r="X282" s="183"/>
    </row>
    <row r="283" spans="1:24">
      <c r="A283" s="43">
        <v>277</v>
      </c>
      <c r="B283" s="43"/>
      <c r="C283" s="8"/>
      <c r="D283" s="8"/>
      <c r="E283" s="8"/>
      <c r="F283" s="14" t="s">
        <v>100</v>
      </c>
      <c r="G283" s="30" t="s">
        <v>100</v>
      </c>
      <c r="H283" s="30" t="s">
        <v>100</v>
      </c>
      <c r="I283" s="329"/>
      <c r="J283" s="33"/>
      <c r="K283" s="33"/>
      <c r="L283" s="33"/>
      <c r="M283" s="33"/>
      <c r="N283" s="59" t="s">
        <v>100</v>
      </c>
      <c r="O283" s="49"/>
      <c r="P283" s="49"/>
      <c r="Q283" s="49"/>
      <c r="R283" s="49"/>
      <c r="S283" s="49"/>
      <c r="T283" s="49"/>
      <c r="U283" s="49"/>
      <c r="V283" s="49"/>
      <c r="W283" s="49"/>
      <c r="X283" s="183"/>
    </row>
    <row r="284" spans="1:24">
      <c r="A284" s="43">
        <v>278</v>
      </c>
      <c r="B284" s="43"/>
      <c r="C284" s="8"/>
      <c r="D284" s="8"/>
      <c r="E284" s="8"/>
      <c r="F284" s="14" t="s">
        <v>100</v>
      </c>
      <c r="G284" s="30" t="s">
        <v>100</v>
      </c>
      <c r="H284" s="30" t="s">
        <v>100</v>
      </c>
      <c r="I284" s="329"/>
      <c r="J284" s="33"/>
      <c r="K284" s="33"/>
      <c r="L284" s="33"/>
      <c r="M284" s="33"/>
      <c r="N284" s="59" t="s">
        <v>100</v>
      </c>
      <c r="O284" s="49"/>
      <c r="P284" s="49"/>
      <c r="Q284" s="49"/>
      <c r="R284" s="49"/>
      <c r="S284" s="49"/>
      <c r="T284" s="49"/>
      <c r="U284" s="49"/>
      <c r="V284" s="49"/>
      <c r="W284" s="49"/>
      <c r="X284" s="183"/>
    </row>
    <row r="285" spans="1:24">
      <c r="A285" s="43">
        <v>279</v>
      </c>
      <c r="B285" s="43"/>
      <c r="C285" s="8"/>
      <c r="D285" s="8"/>
      <c r="E285" s="8"/>
      <c r="F285" s="14" t="s">
        <v>100</v>
      </c>
      <c r="G285" s="30" t="s">
        <v>100</v>
      </c>
      <c r="H285" s="30" t="s">
        <v>100</v>
      </c>
      <c r="I285" s="329"/>
      <c r="J285" s="33"/>
      <c r="K285" s="33"/>
      <c r="L285" s="33"/>
      <c r="M285" s="33"/>
      <c r="N285" s="59" t="s">
        <v>100</v>
      </c>
      <c r="O285" s="49"/>
      <c r="P285" s="49"/>
      <c r="Q285" s="49"/>
      <c r="R285" s="49"/>
      <c r="S285" s="49"/>
      <c r="T285" s="49"/>
      <c r="U285" s="49"/>
      <c r="V285" s="49"/>
      <c r="W285" s="49"/>
      <c r="X285" s="183"/>
    </row>
    <row r="286" spans="1:24">
      <c r="A286" s="43">
        <v>280</v>
      </c>
      <c r="B286" s="43"/>
      <c r="C286" s="8"/>
      <c r="D286" s="8"/>
      <c r="E286" s="8"/>
      <c r="F286" s="14" t="s">
        <v>100</v>
      </c>
      <c r="G286" s="30" t="s">
        <v>100</v>
      </c>
      <c r="H286" s="30" t="s">
        <v>100</v>
      </c>
      <c r="I286" s="329"/>
      <c r="J286" s="33"/>
      <c r="K286" s="33"/>
      <c r="L286" s="33"/>
      <c r="M286" s="33"/>
      <c r="N286" s="59" t="s">
        <v>100</v>
      </c>
      <c r="O286" s="49"/>
      <c r="P286" s="49"/>
      <c r="Q286" s="49"/>
      <c r="R286" s="49"/>
      <c r="S286" s="49"/>
      <c r="T286" s="49"/>
      <c r="U286" s="49"/>
      <c r="V286" s="49"/>
      <c r="W286" s="49"/>
      <c r="X286" s="183"/>
    </row>
    <row r="287" spans="1:24">
      <c r="A287" s="43">
        <v>281</v>
      </c>
      <c r="B287" s="43"/>
      <c r="C287" s="8"/>
      <c r="D287" s="8"/>
      <c r="E287" s="8"/>
      <c r="F287" s="14" t="s">
        <v>100</v>
      </c>
      <c r="G287" s="30" t="s">
        <v>100</v>
      </c>
      <c r="H287" s="30" t="s">
        <v>100</v>
      </c>
      <c r="I287" s="329"/>
      <c r="J287" s="33"/>
      <c r="K287" s="33"/>
      <c r="L287" s="33"/>
      <c r="M287" s="33"/>
      <c r="N287" s="59" t="s">
        <v>100</v>
      </c>
      <c r="O287" s="49"/>
      <c r="P287" s="49"/>
      <c r="Q287" s="49"/>
      <c r="R287" s="49"/>
      <c r="S287" s="49"/>
      <c r="T287" s="49"/>
      <c r="U287" s="49"/>
      <c r="V287" s="49"/>
      <c r="W287" s="49"/>
      <c r="X287" s="183"/>
    </row>
    <row r="288" spans="1:24">
      <c r="A288" s="43">
        <v>282</v>
      </c>
      <c r="B288" s="43"/>
      <c r="C288" s="8"/>
      <c r="D288" s="8"/>
      <c r="E288" s="8"/>
      <c r="F288" s="14" t="s">
        <v>100</v>
      </c>
      <c r="G288" s="30" t="s">
        <v>100</v>
      </c>
      <c r="H288" s="30" t="s">
        <v>100</v>
      </c>
      <c r="I288" s="329"/>
      <c r="J288" s="33"/>
      <c r="K288" s="33"/>
      <c r="L288" s="33"/>
      <c r="M288" s="33"/>
      <c r="N288" s="59" t="s">
        <v>100</v>
      </c>
      <c r="O288" s="49"/>
      <c r="P288" s="49"/>
      <c r="Q288" s="49"/>
      <c r="R288" s="49"/>
      <c r="S288" s="49"/>
      <c r="T288" s="49"/>
      <c r="U288" s="49"/>
      <c r="V288" s="49"/>
      <c r="W288" s="49"/>
      <c r="X288" s="183"/>
    </row>
    <row r="289" spans="1:24">
      <c r="A289" s="43">
        <v>283</v>
      </c>
      <c r="B289" s="43"/>
      <c r="C289" s="8"/>
      <c r="D289" s="8"/>
      <c r="E289" s="8"/>
      <c r="F289" s="14" t="s">
        <v>100</v>
      </c>
      <c r="G289" s="30" t="s">
        <v>100</v>
      </c>
      <c r="H289" s="30" t="s">
        <v>100</v>
      </c>
      <c r="I289" s="329"/>
      <c r="J289" s="33"/>
      <c r="K289" s="33"/>
      <c r="L289" s="33"/>
      <c r="M289" s="33"/>
      <c r="N289" s="59" t="s">
        <v>100</v>
      </c>
      <c r="O289" s="49"/>
      <c r="P289" s="49"/>
      <c r="Q289" s="49"/>
      <c r="R289" s="49"/>
      <c r="S289" s="49"/>
      <c r="T289" s="49"/>
      <c r="U289" s="49"/>
      <c r="V289" s="49"/>
      <c r="W289" s="49"/>
      <c r="X289" s="183"/>
    </row>
    <row r="290" spans="1:24">
      <c r="A290" s="43">
        <v>284</v>
      </c>
      <c r="B290" s="43"/>
      <c r="C290" s="8"/>
      <c r="D290" s="8"/>
      <c r="E290" s="8"/>
      <c r="F290" s="14" t="s">
        <v>100</v>
      </c>
      <c r="G290" s="30" t="s">
        <v>100</v>
      </c>
      <c r="H290" s="30" t="s">
        <v>100</v>
      </c>
      <c r="I290" s="329"/>
      <c r="J290" s="33"/>
      <c r="K290" s="33"/>
      <c r="L290" s="33"/>
      <c r="M290" s="33"/>
      <c r="N290" s="59" t="s">
        <v>100</v>
      </c>
      <c r="O290" s="49"/>
      <c r="P290" s="49"/>
      <c r="Q290" s="49"/>
      <c r="R290" s="49"/>
      <c r="S290" s="49"/>
      <c r="T290" s="49"/>
      <c r="U290" s="49"/>
      <c r="V290" s="49"/>
      <c r="W290" s="49"/>
      <c r="X290" s="183"/>
    </row>
    <row r="291" spans="1:24">
      <c r="A291" s="43">
        <v>285</v>
      </c>
      <c r="B291" s="43"/>
      <c r="C291" s="8"/>
      <c r="D291" s="8"/>
      <c r="E291" s="8"/>
      <c r="F291" s="14" t="s">
        <v>100</v>
      </c>
      <c r="G291" s="30" t="s">
        <v>100</v>
      </c>
      <c r="H291" s="30" t="s">
        <v>100</v>
      </c>
      <c r="I291" s="329"/>
      <c r="J291" s="33"/>
      <c r="K291" s="33"/>
      <c r="L291" s="33"/>
      <c r="M291" s="33"/>
      <c r="N291" s="59" t="s">
        <v>100</v>
      </c>
      <c r="O291" s="49"/>
      <c r="P291" s="49"/>
      <c r="Q291" s="49"/>
      <c r="R291" s="49"/>
      <c r="S291" s="49"/>
      <c r="T291" s="49"/>
      <c r="U291" s="49"/>
      <c r="V291" s="49"/>
      <c r="W291" s="49"/>
      <c r="X291" s="183"/>
    </row>
    <row r="292" spans="1:24">
      <c r="A292" s="43">
        <v>286</v>
      </c>
      <c r="B292" s="43"/>
      <c r="C292" s="8"/>
      <c r="D292" s="8"/>
      <c r="E292" s="8"/>
      <c r="F292" s="14" t="s">
        <v>100</v>
      </c>
      <c r="G292" s="30" t="s">
        <v>100</v>
      </c>
      <c r="H292" s="30" t="s">
        <v>100</v>
      </c>
      <c r="I292" s="329"/>
      <c r="J292" s="33"/>
      <c r="K292" s="33"/>
      <c r="L292" s="33"/>
      <c r="M292" s="33"/>
      <c r="N292" s="59" t="s">
        <v>100</v>
      </c>
      <c r="O292" s="49"/>
      <c r="P292" s="49"/>
      <c r="Q292" s="49"/>
      <c r="R292" s="49"/>
      <c r="S292" s="49"/>
      <c r="T292" s="49"/>
      <c r="U292" s="49"/>
      <c r="V292" s="49"/>
      <c r="W292" s="49"/>
      <c r="X292" s="183"/>
    </row>
    <row r="293" spans="1:24">
      <c r="A293" s="43">
        <v>287</v>
      </c>
      <c r="B293" s="43"/>
      <c r="C293" s="8"/>
      <c r="D293" s="8"/>
      <c r="E293" s="8"/>
      <c r="F293" s="14" t="s">
        <v>100</v>
      </c>
      <c r="G293" s="30" t="s">
        <v>100</v>
      </c>
      <c r="H293" s="30" t="s">
        <v>100</v>
      </c>
      <c r="I293" s="329"/>
      <c r="J293" s="33"/>
      <c r="K293" s="33"/>
      <c r="L293" s="33"/>
      <c r="M293" s="33"/>
      <c r="N293" s="59" t="s">
        <v>100</v>
      </c>
      <c r="O293" s="49"/>
      <c r="P293" s="49"/>
      <c r="Q293" s="49"/>
      <c r="R293" s="49"/>
      <c r="S293" s="49"/>
      <c r="T293" s="49"/>
      <c r="U293" s="49"/>
      <c r="V293" s="49"/>
      <c r="W293" s="49"/>
      <c r="X293" s="183"/>
    </row>
    <row r="294" spans="1:24">
      <c r="A294" s="43">
        <v>288</v>
      </c>
      <c r="B294" s="43"/>
      <c r="C294" s="8"/>
      <c r="D294" s="8"/>
      <c r="E294" s="8"/>
      <c r="F294" s="14" t="s">
        <v>100</v>
      </c>
      <c r="G294" s="30" t="s">
        <v>100</v>
      </c>
      <c r="H294" s="30" t="s">
        <v>100</v>
      </c>
      <c r="I294" s="329"/>
      <c r="J294" s="33"/>
      <c r="K294" s="33"/>
      <c r="L294" s="33"/>
      <c r="M294" s="33"/>
      <c r="N294" s="59" t="s">
        <v>100</v>
      </c>
      <c r="O294" s="49"/>
      <c r="P294" s="49"/>
      <c r="Q294" s="49"/>
      <c r="R294" s="49"/>
      <c r="S294" s="49"/>
      <c r="T294" s="49"/>
      <c r="U294" s="49"/>
      <c r="V294" s="49"/>
      <c r="W294" s="49"/>
      <c r="X294" s="183"/>
    </row>
    <row r="295" spans="1:24">
      <c r="A295" s="43">
        <v>289</v>
      </c>
      <c r="B295" s="43"/>
      <c r="C295" s="8"/>
      <c r="D295" s="8"/>
      <c r="E295" s="8"/>
      <c r="F295" s="14" t="s">
        <v>100</v>
      </c>
      <c r="G295" s="30" t="s">
        <v>100</v>
      </c>
      <c r="H295" s="30" t="s">
        <v>100</v>
      </c>
      <c r="I295" s="329"/>
      <c r="J295" s="33"/>
      <c r="K295" s="33"/>
      <c r="L295" s="33"/>
      <c r="M295" s="33"/>
      <c r="N295" s="59" t="s">
        <v>100</v>
      </c>
      <c r="O295" s="49"/>
      <c r="P295" s="49"/>
      <c r="Q295" s="49"/>
      <c r="R295" s="49"/>
      <c r="S295" s="49"/>
      <c r="T295" s="49"/>
      <c r="U295" s="49"/>
      <c r="V295" s="49"/>
      <c r="W295" s="49"/>
      <c r="X295" s="183"/>
    </row>
    <row r="296" spans="1:24">
      <c r="A296" s="43">
        <v>290</v>
      </c>
      <c r="B296" s="43"/>
      <c r="C296" s="8"/>
      <c r="D296" s="8"/>
      <c r="E296" s="8"/>
      <c r="F296" s="14" t="s">
        <v>100</v>
      </c>
      <c r="G296" s="30" t="s">
        <v>100</v>
      </c>
      <c r="H296" s="30" t="s">
        <v>100</v>
      </c>
      <c r="I296" s="329"/>
      <c r="J296" s="33"/>
      <c r="K296" s="33"/>
      <c r="L296" s="33"/>
      <c r="M296" s="33"/>
      <c r="N296" s="59" t="s">
        <v>100</v>
      </c>
      <c r="O296" s="49"/>
      <c r="P296" s="49"/>
      <c r="Q296" s="49"/>
      <c r="R296" s="49"/>
      <c r="S296" s="49"/>
      <c r="T296" s="49"/>
      <c r="U296" s="49"/>
      <c r="V296" s="49"/>
      <c r="W296" s="49"/>
      <c r="X296" s="183"/>
    </row>
    <row r="297" spans="1:24">
      <c r="A297" s="43">
        <v>291</v>
      </c>
      <c r="B297" s="43"/>
      <c r="C297" s="8"/>
      <c r="D297" s="8"/>
      <c r="E297" s="8"/>
      <c r="F297" s="14" t="s">
        <v>100</v>
      </c>
      <c r="G297" s="30" t="s">
        <v>100</v>
      </c>
      <c r="H297" s="30" t="s">
        <v>100</v>
      </c>
      <c r="I297" s="329"/>
      <c r="J297" s="33"/>
      <c r="K297" s="33"/>
      <c r="L297" s="33"/>
      <c r="M297" s="33"/>
      <c r="N297" s="59" t="s">
        <v>100</v>
      </c>
      <c r="O297" s="49"/>
      <c r="P297" s="49"/>
      <c r="Q297" s="49"/>
      <c r="R297" s="49"/>
      <c r="S297" s="49"/>
      <c r="T297" s="49"/>
      <c r="U297" s="49"/>
      <c r="V297" s="49"/>
      <c r="W297" s="49"/>
      <c r="X297" s="183"/>
    </row>
    <row r="298" spans="1:24">
      <c r="A298" s="43">
        <v>292</v>
      </c>
      <c r="B298" s="43"/>
      <c r="C298" s="8"/>
      <c r="D298" s="8"/>
      <c r="E298" s="8"/>
      <c r="F298" s="14" t="s">
        <v>100</v>
      </c>
      <c r="G298" s="30" t="s">
        <v>100</v>
      </c>
      <c r="H298" s="30" t="s">
        <v>100</v>
      </c>
      <c r="I298" s="329"/>
      <c r="J298" s="33"/>
      <c r="K298" s="33"/>
      <c r="L298" s="33"/>
      <c r="M298" s="33"/>
      <c r="N298" s="59" t="s">
        <v>100</v>
      </c>
      <c r="O298" s="49"/>
      <c r="P298" s="49"/>
      <c r="Q298" s="49"/>
      <c r="R298" s="49"/>
      <c r="S298" s="49"/>
      <c r="T298" s="49"/>
      <c r="U298" s="49"/>
      <c r="V298" s="49"/>
      <c r="W298" s="49"/>
      <c r="X298" s="183"/>
    </row>
    <row r="299" spans="1:24">
      <c r="A299" s="43">
        <v>293</v>
      </c>
      <c r="B299" s="43"/>
      <c r="C299" s="8"/>
      <c r="D299" s="8"/>
      <c r="E299" s="8"/>
      <c r="F299" s="14" t="s">
        <v>100</v>
      </c>
      <c r="G299" s="30" t="s">
        <v>100</v>
      </c>
      <c r="H299" s="30" t="s">
        <v>100</v>
      </c>
      <c r="I299" s="329"/>
      <c r="J299" s="33"/>
      <c r="K299" s="33"/>
      <c r="L299" s="33"/>
      <c r="M299" s="33"/>
      <c r="N299" s="59" t="s">
        <v>100</v>
      </c>
      <c r="O299" s="49"/>
      <c r="P299" s="49"/>
      <c r="Q299" s="49"/>
      <c r="R299" s="49"/>
      <c r="S299" s="49"/>
      <c r="T299" s="49"/>
      <c r="U299" s="49"/>
      <c r="V299" s="49"/>
      <c r="W299" s="49"/>
      <c r="X299" s="183"/>
    </row>
    <row r="300" spans="1:24">
      <c r="A300" s="43">
        <v>294</v>
      </c>
      <c r="B300" s="43"/>
      <c r="C300" s="8"/>
      <c r="D300" s="8"/>
      <c r="E300" s="8"/>
      <c r="F300" s="14" t="s">
        <v>100</v>
      </c>
      <c r="G300" s="30" t="s">
        <v>100</v>
      </c>
      <c r="H300" s="30" t="s">
        <v>100</v>
      </c>
      <c r="I300" s="329"/>
      <c r="J300" s="33"/>
      <c r="K300" s="33"/>
      <c r="L300" s="33"/>
      <c r="M300" s="33"/>
      <c r="N300" s="59" t="s">
        <v>100</v>
      </c>
      <c r="O300" s="49"/>
      <c r="P300" s="49"/>
      <c r="Q300" s="49"/>
      <c r="R300" s="49"/>
      <c r="S300" s="49"/>
      <c r="T300" s="49"/>
      <c r="U300" s="49"/>
      <c r="V300" s="49"/>
      <c r="W300" s="49"/>
      <c r="X300" s="183"/>
    </row>
    <row r="301" spans="1:24">
      <c r="A301" s="43">
        <v>295</v>
      </c>
      <c r="B301" s="43"/>
      <c r="C301" s="8"/>
      <c r="D301" s="8"/>
      <c r="E301" s="8"/>
      <c r="F301" s="14" t="s">
        <v>100</v>
      </c>
      <c r="G301" s="30" t="s">
        <v>100</v>
      </c>
      <c r="H301" s="30" t="s">
        <v>100</v>
      </c>
      <c r="I301" s="329"/>
      <c r="J301" s="33"/>
      <c r="K301" s="33"/>
      <c r="L301" s="33"/>
      <c r="M301" s="33"/>
      <c r="N301" s="59" t="s">
        <v>100</v>
      </c>
      <c r="O301" s="49"/>
      <c r="P301" s="49"/>
      <c r="Q301" s="49"/>
      <c r="R301" s="49"/>
      <c r="S301" s="49"/>
      <c r="T301" s="49"/>
      <c r="U301" s="49"/>
      <c r="V301" s="49"/>
      <c r="W301" s="49"/>
      <c r="X301" s="183"/>
    </row>
    <row r="302" spans="1:24">
      <c r="A302" s="6">
        <v>296</v>
      </c>
      <c r="B302" s="7"/>
      <c r="C302" s="8"/>
      <c r="D302" s="8"/>
      <c r="E302" s="8"/>
      <c r="F302" s="14"/>
      <c r="G302" s="14"/>
      <c r="H302" s="14" t="s">
        <v>100</v>
      </c>
      <c r="I302" s="31"/>
      <c r="J302" s="31"/>
      <c r="K302" s="31"/>
      <c r="L302" s="31"/>
      <c r="M302" s="31"/>
      <c r="N302" s="12" t="s">
        <v>100</v>
      </c>
      <c r="X302" s="183"/>
    </row>
    <row r="303" spans="1:24">
      <c r="A303" s="6">
        <v>297</v>
      </c>
      <c r="B303" s="7"/>
      <c r="C303" s="8"/>
      <c r="D303" s="8"/>
      <c r="E303" s="8"/>
      <c r="F303" s="14"/>
      <c r="G303" s="14"/>
      <c r="H303" s="14" t="s">
        <v>100</v>
      </c>
      <c r="I303" s="9"/>
      <c r="J303" s="9"/>
      <c r="K303" s="9"/>
      <c r="L303" s="9"/>
      <c r="M303" s="9"/>
      <c r="N303" s="12" t="s">
        <v>100</v>
      </c>
      <c r="X303" s="183"/>
    </row>
    <row r="304" spans="1:24">
      <c r="A304" s="6">
        <v>298</v>
      </c>
      <c r="B304" s="7"/>
      <c r="C304" s="8"/>
      <c r="D304" s="8"/>
      <c r="E304" s="8"/>
      <c r="F304" s="14"/>
      <c r="G304" s="14"/>
      <c r="H304" s="14" t="s">
        <v>100</v>
      </c>
      <c r="I304" s="9"/>
      <c r="J304" s="9"/>
      <c r="K304" s="9"/>
      <c r="L304" s="9"/>
      <c r="M304" s="9"/>
      <c r="N304" s="12" t="s">
        <v>100</v>
      </c>
      <c r="X304" s="183"/>
    </row>
    <row r="305" spans="1:24">
      <c r="A305" s="6">
        <v>299</v>
      </c>
      <c r="B305" s="7"/>
      <c r="C305" s="8"/>
      <c r="D305" s="8"/>
      <c r="E305" s="8"/>
      <c r="F305" s="14"/>
      <c r="G305" s="14"/>
      <c r="H305" s="14" t="s">
        <v>100</v>
      </c>
      <c r="I305" s="9"/>
      <c r="J305" s="9"/>
      <c r="K305" s="9"/>
      <c r="L305" s="9"/>
      <c r="M305" s="9"/>
      <c r="N305" s="12" t="s">
        <v>100</v>
      </c>
      <c r="X305" s="183"/>
    </row>
    <row r="306" spans="1:24">
      <c r="A306" s="6">
        <v>300</v>
      </c>
      <c r="B306" s="7"/>
      <c r="C306" s="8"/>
      <c r="D306" s="8"/>
      <c r="E306" s="8"/>
      <c r="F306" s="14"/>
      <c r="G306" s="14"/>
      <c r="H306" s="14" t="s">
        <v>100</v>
      </c>
      <c r="I306" s="9"/>
      <c r="J306" s="9"/>
      <c r="K306" s="9"/>
      <c r="L306" s="9"/>
      <c r="M306" s="9"/>
      <c r="N306" s="12" t="s">
        <v>100</v>
      </c>
      <c r="X306" s="183"/>
    </row>
    <row r="307" spans="1:24">
      <c r="A307" s="6"/>
      <c r="B307" s="7"/>
      <c r="C307" s="8"/>
      <c r="D307" s="8"/>
      <c r="E307" s="8"/>
      <c r="F307" s="14"/>
      <c r="G307" s="14"/>
      <c r="H307" s="14"/>
      <c r="I307" s="9"/>
      <c r="J307" s="9"/>
      <c r="K307" s="9"/>
      <c r="L307" s="9"/>
      <c r="M307" s="9"/>
      <c r="N307" s="12" t="s">
        <v>100</v>
      </c>
      <c r="X307" s="183"/>
    </row>
    <row r="308" spans="1:24">
      <c r="A308" s="6"/>
      <c r="B308" s="7"/>
      <c r="C308" s="8"/>
      <c r="D308" s="8"/>
      <c r="E308" s="8"/>
      <c r="F308" s="14"/>
      <c r="G308" s="14"/>
      <c r="H308" s="14"/>
      <c r="I308" s="9"/>
      <c r="J308" s="9"/>
      <c r="K308" s="9"/>
      <c r="L308" s="9"/>
      <c r="M308" s="9"/>
      <c r="N308" s="12" t="s">
        <v>100</v>
      </c>
      <c r="X308" s="183"/>
    </row>
    <row r="309" spans="1:24">
      <c r="A309" s="6"/>
      <c r="B309" s="7"/>
      <c r="C309" s="8"/>
      <c r="D309" s="8"/>
      <c r="E309" s="8"/>
      <c r="F309" s="14"/>
      <c r="G309" s="14"/>
      <c r="H309" s="14"/>
      <c r="I309" s="9"/>
      <c r="J309" s="9"/>
      <c r="K309" s="9"/>
      <c r="L309" s="9"/>
      <c r="M309" s="9"/>
      <c r="N309" s="12" t="s">
        <v>100</v>
      </c>
      <c r="X309" s="183"/>
    </row>
    <row r="310" spans="1:24">
      <c r="A310" s="6"/>
      <c r="B310" s="7"/>
      <c r="C310" s="8"/>
      <c r="D310" s="8"/>
      <c r="E310" s="8"/>
      <c r="F310" s="14"/>
      <c r="G310" s="14"/>
      <c r="H310" s="14"/>
      <c r="I310" s="9"/>
      <c r="J310" s="9"/>
      <c r="K310" s="9"/>
      <c r="L310" s="9"/>
      <c r="M310" s="9"/>
      <c r="N310" s="12" t="s">
        <v>100</v>
      </c>
      <c r="X310" s="183"/>
    </row>
    <row r="311" spans="1:24">
      <c r="A311" s="6"/>
      <c r="B311" s="7"/>
      <c r="C311" s="8"/>
      <c r="D311" s="8"/>
      <c r="E311" s="8"/>
      <c r="F311" s="14"/>
      <c r="G311" s="14"/>
      <c r="H311" s="14"/>
      <c r="I311" s="9"/>
      <c r="J311" s="9"/>
      <c r="K311" s="9"/>
      <c r="L311" s="9"/>
      <c r="M311" s="9"/>
      <c r="N311" s="12" t="s">
        <v>100</v>
      </c>
      <c r="X311" s="183"/>
    </row>
    <row r="312" spans="1:24" ht="16.5" thickBot="1">
      <c r="A312" s="6"/>
      <c r="B312" s="7"/>
      <c r="C312" s="8"/>
      <c r="D312" s="8"/>
      <c r="E312" s="8"/>
      <c r="F312" s="14"/>
      <c r="G312" s="14"/>
      <c r="H312" s="14"/>
      <c r="I312" s="9"/>
      <c r="J312" s="9"/>
      <c r="K312" s="9"/>
      <c r="L312" s="9"/>
      <c r="M312" s="9"/>
      <c r="N312" s="12" t="s">
        <v>100</v>
      </c>
      <c r="X312" s="181"/>
    </row>
    <row r="313" spans="1:24">
      <c r="A313" s="6"/>
      <c r="B313" s="7"/>
      <c r="C313" s="8"/>
      <c r="D313" s="8"/>
      <c r="E313" s="8"/>
      <c r="F313" s="14"/>
      <c r="G313" s="14"/>
      <c r="H313" s="14"/>
      <c r="I313" s="9"/>
      <c r="J313" s="9"/>
      <c r="K313" s="9"/>
      <c r="L313" s="9"/>
      <c r="M313" s="9"/>
      <c r="N313" s="12" t="s">
        <v>100</v>
      </c>
    </row>
    <row r="314" spans="1:24">
      <c r="A314" s="6"/>
      <c r="B314" s="7"/>
      <c r="C314" s="8"/>
      <c r="D314" s="8"/>
      <c r="E314" s="8"/>
      <c r="F314" s="14"/>
      <c r="G314" s="14"/>
      <c r="H314" s="14"/>
      <c r="I314" s="9"/>
      <c r="J314" s="9"/>
      <c r="K314" s="9"/>
      <c r="L314" s="9"/>
      <c r="M314" s="9"/>
      <c r="N314" s="12" t="s">
        <v>100</v>
      </c>
    </row>
    <row r="315" spans="1:24">
      <c r="A315" s="6"/>
      <c r="B315" s="7"/>
      <c r="C315" s="8"/>
      <c r="D315" s="8"/>
      <c r="E315" s="8"/>
      <c r="F315" s="14"/>
      <c r="G315" s="14"/>
      <c r="H315" s="14"/>
      <c r="I315" s="9"/>
      <c r="J315" s="9"/>
      <c r="K315" s="9"/>
      <c r="L315" s="9"/>
      <c r="M315" s="9"/>
      <c r="N315" s="12" t="s">
        <v>100</v>
      </c>
    </row>
    <row r="316" spans="1:24">
      <c r="A316" s="6"/>
      <c r="B316" s="7"/>
      <c r="C316" s="8"/>
      <c r="D316" s="8"/>
      <c r="E316" s="8"/>
      <c r="F316" s="14"/>
      <c r="G316" s="14"/>
      <c r="H316" s="14"/>
      <c r="I316" s="9"/>
      <c r="J316" s="9"/>
      <c r="K316" s="9"/>
      <c r="L316" s="9"/>
      <c r="M316" s="9"/>
      <c r="N316" s="12" t="s">
        <v>100</v>
      </c>
    </row>
    <row r="317" spans="1:24">
      <c r="A317" s="6"/>
      <c r="B317" s="7"/>
      <c r="C317" s="8"/>
      <c r="D317" s="8"/>
      <c r="E317" s="8"/>
      <c r="F317" s="14"/>
      <c r="G317" s="14"/>
      <c r="H317" s="14"/>
      <c r="I317" s="9"/>
      <c r="J317" s="9"/>
      <c r="K317" s="9"/>
      <c r="L317" s="9"/>
      <c r="M317" s="9"/>
      <c r="N317" s="12" t="s">
        <v>100</v>
      </c>
    </row>
    <row r="318" spans="1:24">
      <c r="A318" s="6"/>
      <c r="B318" s="7"/>
      <c r="C318" s="8"/>
      <c r="D318" s="8"/>
      <c r="E318" s="8"/>
      <c r="F318" s="14"/>
      <c r="G318" s="14"/>
      <c r="H318" s="14"/>
      <c r="I318" s="9"/>
      <c r="J318" s="9"/>
      <c r="K318" s="9"/>
      <c r="L318" s="9"/>
      <c r="M318" s="9"/>
      <c r="N318" s="12" t="s">
        <v>100</v>
      </c>
    </row>
    <row r="319" spans="1:24">
      <c r="A319" s="6"/>
      <c r="B319" s="7"/>
      <c r="C319" s="8"/>
      <c r="D319" s="8"/>
      <c r="E319" s="8"/>
      <c r="F319" s="14"/>
      <c r="G319" s="14"/>
      <c r="H319" s="14"/>
      <c r="I319" s="9"/>
      <c r="J319" s="9"/>
      <c r="K319" s="9"/>
      <c r="L319" s="9"/>
      <c r="M319" s="9"/>
      <c r="N319" s="12" t="s">
        <v>100</v>
      </c>
    </row>
    <row r="320" spans="1:24">
      <c r="A320" s="6"/>
      <c r="B320" s="7"/>
      <c r="C320" s="8"/>
      <c r="D320" s="8"/>
      <c r="E320" s="8"/>
      <c r="F320" s="14"/>
      <c r="G320" s="14"/>
      <c r="H320" s="14"/>
      <c r="I320" s="9"/>
      <c r="J320" s="9"/>
      <c r="K320" s="9"/>
      <c r="L320" s="9"/>
      <c r="M320" s="9"/>
      <c r="N320" s="12" t="s">
        <v>100</v>
      </c>
    </row>
    <row r="321" spans="1:14">
      <c r="A321" s="6"/>
      <c r="B321" s="7"/>
      <c r="C321" s="8"/>
      <c r="D321" s="8"/>
      <c r="E321" s="8"/>
      <c r="F321" s="14"/>
      <c r="G321" s="14"/>
      <c r="H321" s="14"/>
      <c r="I321" s="9"/>
      <c r="J321" s="9"/>
      <c r="K321" s="9"/>
      <c r="L321" s="9"/>
      <c r="M321" s="9"/>
      <c r="N321" s="12" t="s">
        <v>100</v>
      </c>
    </row>
    <row r="322" spans="1:14">
      <c r="A322" s="6"/>
      <c r="B322" s="7"/>
      <c r="C322" s="8"/>
      <c r="D322" s="8"/>
      <c r="E322" s="8"/>
      <c r="F322" s="14"/>
      <c r="G322" s="14"/>
      <c r="H322" s="14"/>
      <c r="I322" s="9"/>
      <c r="J322" s="9"/>
      <c r="K322" s="9"/>
      <c r="L322" s="9"/>
      <c r="M322" s="9"/>
      <c r="N322" s="12" t="s">
        <v>100</v>
      </c>
    </row>
    <row r="323" spans="1:14">
      <c r="A323" s="6"/>
      <c r="B323" s="7"/>
      <c r="C323" s="8"/>
      <c r="D323" s="8"/>
      <c r="E323" s="8"/>
      <c r="F323" s="14"/>
      <c r="G323" s="14"/>
      <c r="H323" s="14"/>
      <c r="I323" s="9"/>
      <c r="J323" s="9"/>
      <c r="K323" s="9"/>
      <c r="L323" s="9"/>
      <c r="M323" s="9"/>
      <c r="N323" s="12" t="s">
        <v>100</v>
      </c>
    </row>
    <row r="324" spans="1:14">
      <c r="A324" s="6"/>
      <c r="B324" s="7"/>
      <c r="C324" s="8"/>
      <c r="D324" s="8"/>
      <c r="E324" s="8"/>
      <c r="F324" s="14"/>
      <c r="G324" s="14"/>
      <c r="H324" s="14"/>
      <c r="I324" s="9"/>
      <c r="J324" s="9"/>
      <c r="K324" s="9"/>
      <c r="L324" s="9"/>
      <c r="M324" s="9"/>
      <c r="N324" s="12" t="s">
        <v>100</v>
      </c>
    </row>
    <row r="325" spans="1:14">
      <c r="A325" s="6"/>
      <c r="B325" s="7"/>
      <c r="C325" s="8"/>
      <c r="D325" s="8"/>
      <c r="E325" s="8"/>
      <c r="F325" s="14"/>
      <c r="G325" s="14"/>
      <c r="H325" s="14"/>
      <c r="I325" s="9"/>
      <c r="J325" s="9"/>
      <c r="K325" s="9"/>
      <c r="L325" s="9"/>
      <c r="M325" s="9"/>
      <c r="N325" s="12" t="s">
        <v>100</v>
      </c>
    </row>
    <row r="326" spans="1:14">
      <c r="A326" s="6"/>
      <c r="B326" s="7"/>
      <c r="C326" s="8"/>
      <c r="D326" s="8"/>
      <c r="E326" s="8"/>
      <c r="F326" s="14"/>
      <c r="G326" s="14"/>
      <c r="H326" s="14"/>
      <c r="I326" s="9"/>
      <c r="J326" s="9"/>
      <c r="K326" s="9"/>
      <c r="L326" s="9"/>
      <c r="M326" s="9"/>
      <c r="N326" s="12" t="s">
        <v>100</v>
      </c>
    </row>
    <row r="327" spans="1:14">
      <c r="A327" s="6"/>
      <c r="B327" s="7"/>
      <c r="C327" s="8"/>
      <c r="D327" s="8"/>
      <c r="E327" s="8"/>
      <c r="F327" s="14"/>
      <c r="G327" s="14"/>
      <c r="H327" s="14"/>
      <c r="I327" s="9"/>
      <c r="J327" s="9"/>
      <c r="K327" s="9"/>
      <c r="L327" s="9"/>
      <c r="M327" s="9"/>
      <c r="N327" s="12" t="s">
        <v>100</v>
      </c>
    </row>
    <row r="328" spans="1:14">
      <c r="A328" s="6"/>
      <c r="B328" s="7"/>
      <c r="C328" s="8"/>
      <c r="D328" s="8"/>
      <c r="E328" s="8"/>
      <c r="F328" s="14"/>
      <c r="G328" s="14"/>
      <c r="H328" s="14"/>
      <c r="I328" s="9"/>
      <c r="J328" s="9"/>
      <c r="K328" s="9"/>
      <c r="L328" s="9"/>
      <c r="M328" s="9"/>
      <c r="N328" s="12" t="s">
        <v>100</v>
      </c>
    </row>
    <row r="329" spans="1:14">
      <c r="A329" s="6"/>
      <c r="B329" s="7"/>
      <c r="C329" s="8"/>
      <c r="D329" s="8"/>
      <c r="E329" s="8"/>
      <c r="F329" s="14"/>
      <c r="G329" s="14"/>
      <c r="H329" s="14"/>
      <c r="I329" s="9"/>
      <c r="J329" s="9"/>
      <c r="K329" s="9"/>
      <c r="L329" s="9"/>
      <c r="M329" s="9"/>
      <c r="N329" s="12" t="s">
        <v>100</v>
      </c>
    </row>
    <row r="330" spans="1:14">
      <c r="A330" s="6"/>
      <c r="B330" s="7"/>
      <c r="C330" s="8"/>
      <c r="D330" s="8"/>
      <c r="E330" s="8"/>
      <c r="F330" s="14"/>
      <c r="G330" s="14"/>
      <c r="H330" s="14"/>
      <c r="I330" s="9"/>
      <c r="J330" s="9"/>
      <c r="K330" s="9"/>
      <c r="L330" s="9"/>
      <c r="M330" s="9"/>
      <c r="N330" s="12" t="s">
        <v>100</v>
      </c>
    </row>
    <row r="331" spans="1:14">
      <c r="A331" s="6"/>
      <c r="B331" s="7"/>
      <c r="C331" s="8"/>
      <c r="D331" s="8"/>
      <c r="E331" s="8"/>
      <c r="F331" s="14"/>
      <c r="G331" s="14"/>
      <c r="H331" s="14"/>
      <c r="I331" s="9"/>
      <c r="J331" s="9"/>
      <c r="K331" s="9"/>
      <c r="L331" s="9"/>
      <c r="M331" s="9"/>
      <c r="N331" s="12" t="s">
        <v>100</v>
      </c>
    </row>
    <row r="332" spans="1:14">
      <c r="A332" s="6"/>
      <c r="B332" s="7"/>
      <c r="C332" s="8"/>
      <c r="D332" s="8"/>
      <c r="E332" s="8"/>
      <c r="F332" s="14"/>
      <c r="G332" s="14"/>
      <c r="H332" s="14"/>
      <c r="I332" s="9"/>
      <c r="J332" s="9"/>
      <c r="K332" s="9"/>
      <c r="L332" s="9"/>
      <c r="M332" s="9"/>
      <c r="N332" s="12" t="s">
        <v>100</v>
      </c>
    </row>
    <row r="333" spans="1:14">
      <c r="A333" s="6"/>
      <c r="B333" s="7"/>
      <c r="C333" s="8"/>
      <c r="D333" s="8"/>
      <c r="E333" s="8"/>
      <c r="F333" s="14"/>
      <c r="G333" s="14"/>
      <c r="H333" s="14"/>
      <c r="I333" s="9"/>
      <c r="J333" s="9"/>
      <c r="K333" s="9"/>
      <c r="L333" s="9"/>
      <c r="M333" s="9"/>
      <c r="N333" s="12" t="s">
        <v>100</v>
      </c>
    </row>
    <row r="334" spans="1:14">
      <c r="A334" s="6"/>
      <c r="B334" s="7"/>
      <c r="C334" s="8"/>
      <c r="D334" s="8"/>
      <c r="E334" s="8"/>
      <c r="F334" s="14"/>
      <c r="G334" s="14"/>
      <c r="H334" s="14"/>
      <c r="I334" s="9"/>
      <c r="J334" s="9"/>
      <c r="K334" s="9"/>
      <c r="L334" s="9"/>
      <c r="M334" s="9"/>
      <c r="N334" s="12" t="s">
        <v>100</v>
      </c>
    </row>
    <row r="335" spans="1:14">
      <c r="A335" s="6"/>
      <c r="B335" s="7"/>
      <c r="C335" s="8"/>
      <c r="D335" s="8"/>
      <c r="E335" s="8"/>
      <c r="F335" s="14"/>
      <c r="G335" s="14"/>
      <c r="H335" s="14"/>
      <c r="I335" s="9"/>
      <c r="J335" s="9"/>
      <c r="K335" s="9"/>
      <c r="L335" s="9"/>
      <c r="M335" s="9"/>
      <c r="N335" s="12" t="s">
        <v>100</v>
      </c>
    </row>
    <row r="336" spans="1:14">
      <c r="A336" s="6"/>
      <c r="B336" s="7"/>
      <c r="C336" s="8"/>
      <c r="D336" s="8"/>
      <c r="E336" s="8"/>
      <c r="F336" s="14"/>
      <c r="G336" s="14"/>
      <c r="H336" s="14"/>
      <c r="I336" s="9"/>
      <c r="J336" s="9"/>
      <c r="K336" s="9"/>
      <c r="L336" s="9"/>
      <c r="M336" s="9"/>
      <c r="N336" s="12" t="s">
        <v>100</v>
      </c>
    </row>
    <row r="337" spans="1:14">
      <c r="A337" s="6"/>
      <c r="B337" s="7"/>
      <c r="C337" s="8"/>
      <c r="D337" s="8"/>
      <c r="E337" s="8"/>
      <c r="F337" s="14"/>
      <c r="G337" s="14"/>
      <c r="H337" s="14"/>
      <c r="I337" s="9"/>
      <c r="J337" s="9"/>
      <c r="K337" s="9"/>
      <c r="L337" s="9"/>
      <c r="M337" s="9"/>
      <c r="N337" s="12" t="s">
        <v>100</v>
      </c>
    </row>
    <row r="338" spans="1:14">
      <c r="A338" s="6"/>
      <c r="B338" s="7"/>
      <c r="C338" s="8"/>
      <c r="D338" s="8"/>
      <c r="E338" s="8"/>
      <c r="F338" s="14"/>
      <c r="G338" s="14"/>
      <c r="H338" s="14"/>
      <c r="I338" s="9"/>
      <c r="J338" s="9"/>
      <c r="K338" s="9"/>
      <c r="L338" s="9"/>
      <c r="M338" s="9"/>
      <c r="N338" s="12" t="s">
        <v>100</v>
      </c>
    </row>
    <row r="339" spans="1:14">
      <c r="A339" s="6"/>
      <c r="B339" s="7"/>
      <c r="C339" s="8"/>
      <c r="D339" s="8"/>
      <c r="E339" s="8"/>
      <c r="F339" s="14"/>
      <c r="G339" s="14"/>
      <c r="H339" s="14"/>
      <c r="I339" s="9"/>
      <c r="J339" s="9"/>
      <c r="K339" s="9"/>
      <c r="L339" s="9"/>
      <c r="M339" s="9"/>
      <c r="N339" s="12" t="s">
        <v>100</v>
      </c>
    </row>
    <row r="340" spans="1:14">
      <c r="A340" s="6"/>
      <c r="B340" s="7"/>
      <c r="C340" s="8"/>
      <c r="D340" s="8"/>
      <c r="E340" s="8"/>
      <c r="F340" s="14"/>
      <c r="G340" s="14"/>
      <c r="H340" s="14"/>
      <c r="I340" s="9"/>
      <c r="J340" s="9"/>
      <c r="K340" s="9"/>
      <c r="L340" s="9"/>
      <c r="M340" s="9"/>
      <c r="N340" s="12" t="s">
        <v>100</v>
      </c>
    </row>
    <row r="341" spans="1:14">
      <c r="A341" s="6"/>
      <c r="B341" s="7"/>
      <c r="C341" s="8"/>
      <c r="D341" s="8"/>
      <c r="E341" s="8"/>
      <c r="F341" s="14"/>
      <c r="G341" s="14"/>
      <c r="H341" s="14"/>
      <c r="I341" s="9"/>
      <c r="J341" s="9"/>
      <c r="K341" s="9"/>
      <c r="L341" s="9"/>
      <c r="M341" s="9"/>
      <c r="N341" s="12" t="s">
        <v>100</v>
      </c>
    </row>
    <row r="342" spans="1:14">
      <c r="N342" s="12" t="s">
        <v>100</v>
      </c>
    </row>
    <row r="343" spans="1:14">
      <c r="N343" s="12" t="s">
        <v>100</v>
      </c>
    </row>
    <row r="344" spans="1:14">
      <c r="N344" s="12" t="s">
        <v>100</v>
      </c>
    </row>
    <row r="345" spans="1:14">
      <c r="N345" s="12" t="s">
        <v>100</v>
      </c>
    </row>
    <row r="346" spans="1:14">
      <c r="N346" s="12" t="s">
        <v>100</v>
      </c>
    </row>
    <row r="347" spans="1:14">
      <c r="N347" s="12" t="s">
        <v>100</v>
      </c>
    </row>
    <row r="348" spans="1:14">
      <c r="N348" s="12" t="s">
        <v>100</v>
      </c>
    </row>
    <row r="349" spans="1:14">
      <c r="N349" s="12" t="s">
        <v>100</v>
      </c>
    </row>
    <row r="350" spans="1:14">
      <c r="N350" s="12" t="s">
        <v>100</v>
      </c>
    </row>
    <row r="351" spans="1:14">
      <c r="N351" s="12" t="s">
        <v>100</v>
      </c>
    </row>
    <row r="352" spans="1:14">
      <c r="N352" s="12" t="s">
        <v>100</v>
      </c>
    </row>
    <row r="353" spans="14:14">
      <c r="N353" s="12" t="s">
        <v>100</v>
      </c>
    </row>
    <row r="354" spans="14:14">
      <c r="N354" s="12" t="s">
        <v>100</v>
      </c>
    </row>
    <row r="355" spans="14:14">
      <c r="N355" s="12" t="s">
        <v>100</v>
      </c>
    </row>
    <row r="356" spans="14:14">
      <c r="N356" s="12" t="s">
        <v>100</v>
      </c>
    </row>
    <row r="357" spans="14:14">
      <c r="N357" s="12" t="s">
        <v>100</v>
      </c>
    </row>
    <row r="358" spans="14:14">
      <c r="N358" s="12" t="s">
        <v>100</v>
      </c>
    </row>
    <row r="359" spans="14:14">
      <c r="N359" s="12" t="s">
        <v>100</v>
      </c>
    </row>
    <row r="360" spans="14:14">
      <c r="N360" s="12" t="s">
        <v>100</v>
      </c>
    </row>
    <row r="361" spans="14:14">
      <c r="N361" s="12" t="s">
        <v>100</v>
      </c>
    </row>
    <row r="362" spans="14:14">
      <c r="N362" s="12" t="s">
        <v>100</v>
      </c>
    </row>
    <row r="363" spans="14:14">
      <c r="N363" s="12" t="s">
        <v>100</v>
      </c>
    </row>
    <row r="364" spans="14:14">
      <c r="N364" s="12" t="s">
        <v>100</v>
      </c>
    </row>
    <row r="365" spans="14:14">
      <c r="N365" s="12" t="s">
        <v>100</v>
      </c>
    </row>
    <row r="366" spans="14:14">
      <c r="N366" s="12" t="s">
        <v>100</v>
      </c>
    </row>
    <row r="367" spans="14:14">
      <c r="N367" s="12" t="s">
        <v>100</v>
      </c>
    </row>
    <row r="368" spans="14:14">
      <c r="N368" s="12" t="s">
        <v>100</v>
      </c>
    </row>
    <row r="369" spans="14:14">
      <c r="N369" s="12" t="s">
        <v>100</v>
      </c>
    </row>
    <row r="370" spans="14:14">
      <c r="N370" s="12" t="s">
        <v>100</v>
      </c>
    </row>
    <row r="371" spans="14:14">
      <c r="N371" s="12" t="s">
        <v>100</v>
      </c>
    </row>
    <row r="372" spans="14:14">
      <c r="N372" s="12" t="s">
        <v>100</v>
      </c>
    </row>
    <row r="373" spans="14:14">
      <c r="N373" s="12" t="s">
        <v>100</v>
      </c>
    </row>
    <row r="374" spans="14:14">
      <c r="N374" s="12" t="s">
        <v>100</v>
      </c>
    </row>
    <row r="375" spans="14:14">
      <c r="N375" s="12" t="s">
        <v>100</v>
      </c>
    </row>
    <row r="376" spans="14:14">
      <c r="N376" s="12" t="s">
        <v>100</v>
      </c>
    </row>
    <row r="377" spans="14:14">
      <c r="N377" s="12" t="s">
        <v>100</v>
      </c>
    </row>
    <row r="378" spans="14:14">
      <c r="N378" s="12" t="s">
        <v>100</v>
      </c>
    </row>
    <row r="379" spans="14:14">
      <c r="N379" s="12" t="s">
        <v>100</v>
      </c>
    </row>
    <row r="380" spans="14:14">
      <c r="N380" s="12" t="s">
        <v>100</v>
      </c>
    </row>
    <row r="381" spans="14:14">
      <c r="N381" s="12" t="s">
        <v>100</v>
      </c>
    </row>
    <row r="382" spans="14:14">
      <c r="N382" s="12" t="s">
        <v>100</v>
      </c>
    </row>
    <row r="383" spans="14:14">
      <c r="N383" s="12" t="s">
        <v>100</v>
      </c>
    </row>
    <row r="384" spans="14:14">
      <c r="N384" s="12" t="s">
        <v>100</v>
      </c>
    </row>
    <row r="385" spans="14:14">
      <c r="N385" s="12" t="s">
        <v>100</v>
      </c>
    </row>
    <row r="386" spans="14:14">
      <c r="N386" s="12" t="s">
        <v>100</v>
      </c>
    </row>
    <row r="387" spans="14:14">
      <c r="N387" s="12" t="s">
        <v>100</v>
      </c>
    </row>
    <row r="388" spans="14:14">
      <c r="N388" s="12" t="s">
        <v>100</v>
      </c>
    </row>
    <row r="389" spans="14:14">
      <c r="N389" s="12" t="s">
        <v>100</v>
      </c>
    </row>
    <row r="390" spans="14:14">
      <c r="N390" s="12" t="s">
        <v>100</v>
      </c>
    </row>
    <row r="391" spans="14:14">
      <c r="N391" s="12" t="s">
        <v>100</v>
      </c>
    </row>
    <row r="392" spans="14:14">
      <c r="N392" s="12" t="s">
        <v>100</v>
      </c>
    </row>
    <row r="393" spans="14:14">
      <c r="N393" s="12" t="s">
        <v>100</v>
      </c>
    </row>
    <row r="394" spans="14:14">
      <c r="N394" s="12" t="s">
        <v>100</v>
      </c>
    </row>
    <row r="395" spans="14:14">
      <c r="N395" s="12" t="s">
        <v>100</v>
      </c>
    </row>
    <row r="396" spans="14:14">
      <c r="N396" s="12" t="s">
        <v>100</v>
      </c>
    </row>
    <row r="397" spans="14:14">
      <c r="N397" s="12" t="s">
        <v>100</v>
      </c>
    </row>
    <row r="398" spans="14:14">
      <c r="N398" s="12" t="s">
        <v>100</v>
      </c>
    </row>
    <row r="399" spans="14:14">
      <c r="N399" s="12" t="s">
        <v>100</v>
      </c>
    </row>
    <row r="400" spans="14:14">
      <c r="N400" s="12" t="s">
        <v>100</v>
      </c>
    </row>
    <row r="401" spans="14:14">
      <c r="N401" s="12" t="s">
        <v>100</v>
      </c>
    </row>
    <row r="402" spans="14:14">
      <c r="N402" s="12" t="s">
        <v>100</v>
      </c>
    </row>
    <row r="403" spans="14:14">
      <c r="N403" s="12" t="s">
        <v>100</v>
      </c>
    </row>
    <row r="404" spans="14:14">
      <c r="N404" s="12" t="s">
        <v>100</v>
      </c>
    </row>
    <row r="405" spans="14:14">
      <c r="N405" s="12" t="s">
        <v>100</v>
      </c>
    </row>
    <row r="406" spans="14:14">
      <c r="N406" s="12" t="s">
        <v>100</v>
      </c>
    </row>
    <row r="407" spans="14:14">
      <c r="N407" s="12" t="s">
        <v>100</v>
      </c>
    </row>
    <row r="408" spans="14:14">
      <c r="N408" s="12" t="s">
        <v>100</v>
      </c>
    </row>
    <row r="409" spans="14:14">
      <c r="N409" s="12" t="s">
        <v>100</v>
      </c>
    </row>
    <row r="410" spans="14:14">
      <c r="N410" s="12" t="s">
        <v>100</v>
      </c>
    </row>
    <row r="411" spans="14:14">
      <c r="N411" s="12" t="s">
        <v>100</v>
      </c>
    </row>
    <row r="412" spans="14:14">
      <c r="N412" s="12" t="s">
        <v>100</v>
      </c>
    </row>
    <row r="413" spans="14:14">
      <c r="N413" s="12" t="s">
        <v>100</v>
      </c>
    </row>
    <row r="414" spans="14:14">
      <c r="N414" s="12" t="s">
        <v>100</v>
      </c>
    </row>
    <row r="415" spans="14:14">
      <c r="N415" s="12" t="s">
        <v>100</v>
      </c>
    </row>
    <row r="416" spans="14:14">
      <c r="N416" s="12" t="s">
        <v>100</v>
      </c>
    </row>
    <row r="417" spans="14:14">
      <c r="N417" s="12" t="s">
        <v>100</v>
      </c>
    </row>
    <row r="418" spans="14:14">
      <c r="N418" s="12" t="s">
        <v>100</v>
      </c>
    </row>
    <row r="419" spans="14:14">
      <c r="N419" s="12" t="s">
        <v>100</v>
      </c>
    </row>
    <row r="420" spans="14:14">
      <c r="N420" s="12" t="s">
        <v>100</v>
      </c>
    </row>
    <row r="421" spans="14:14">
      <c r="N421" s="12" t="s">
        <v>100</v>
      </c>
    </row>
    <row r="422" spans="14:14">
      <c r="N422" s="12" t="s">
        <v>100</v>
      </c>
    </row>
    <row r="423" spans="14:14">
      <c r="N423" s="12" t="s">
        <v>100</v>
      </c>
    </row>
    <row r="424" spans="14:14">
      <c r="N424" s="12" t="s">
        <v>100</v>
      </c>
    </row>
    <row r="425" spans="14:14">
      <c r="N425" s="12" t="s">
        <v>100</v>
      </c>
    </row>
    <row r="426" spans="14:14">
      <c r="N426" s="12" t="s">
        <v>100</v>
      </c>
    </row>
    <row r="427" spans="14:14">
      <c r="N427" s="12" t="s">
        <v>100</v>
      </c>
    </row>
    <row r="428" spans="14:14">
      <c r="N428" s="12" t="s">
        <v>100</v>
      </c>
    </row>
    <row r="429" spans="14:14">
      <c r="N429" s="12" t="s">
        <v>100</v>
      </c>
    </row>
    <row r="430" spans="14:14">
      <c r="N430" s="12" t="s">
        <v>100</v>
      </c>
    </row>
    <row r="431" spans="14:14">
      <c r="N431" s="12" t="s">
        <v>100</v>
      </c>
    </row>
    <row r="432" spans="14:14">
      <c r="N432" s="12" t="s">
        <v>100</v>
      </c>
    </row>
    <row r="433" spans="14:14">
      <c r="N433" s="12" t="s">
        <v>100</v>
      </c>
    </row>
    <row r="434" spans="14:14">
      <c r="N434" s="12" t="s">
        <v>100</v>
      </c>
    </row>
    <row r="435" spans="14:14">
      <c r="N435" s="12" t="s">
        <v>100</v>
      </c>
    </row>
    <row r="436" spans="14:14">
      <c r="N436" s="12" t="s">
        <v>100</v>
      </c>
    </row>
    <row r="437" spans="14:14">
      <c r="N437" s="12" t="s">
        <v>100</v>
      </c>
    </row>
    <row r="438" spans="14:14">
      <c r="N438" s="12" t="s">
        <v>100</v>
      </c>
    </row>
    <row r="439" spans="14:14">
      <c r="N439" s="12" t="s">
        <v>100</v>
      </c>
    </row>
    <row r="440" spans="14:14">
      <c r="N440" s="12" t="s">
        <v>100</v>
      </c>
    </row>
    <row r="441" spans="14:14">
      <c r="N441" s="12" t="s">
        <v>100</v>
      </c>
    </row>
    <row r="442" spans="14:14">
      <c r="N442" s="12" t="s">
        <v>100</v>
      </c>
    </row>
    <row r="443" spans="14:14">
      <c r="N443" s="12" t="s">
        <v>100</v>
      </c>
    </row>
    <row r="444" spans="14:14">
      <c r="N444" s="12" t="s">
        <v>100</v>
      </c>
    </row>
    <row r="445" spans="14:14">
      <c r="N445" s="12" t="s">
        <v>100</v>
      </c>
    </row>
    <row r="446" spans="14:14">
      <c r="N446" s="12" t="s">
        <v>100</v>
      </c>
    </row>
    <row r="447" spans="14:14">
      <c r="N447" s="12" t="s">
        <v>100</v>
      </c>
    </row>
    <row r="448" spans="14:14">
      <c r="N448" s="12" t="s">
        <v>100</v>
      </c>
    </row>
    <row r="449" spans="14:14">
      <c r="N449" s="12" t="s">
        <v>100</v>
      </c>
    </row>
    <row r="450" spans="14:14">
      <c r="N450" s="12" t="s">
        <v>100</v>
      </c>
    </row>
    <row r="451" spans="14:14">
      <c r="N451" s="12" t="s">
        <v>100</v>
      </c>
    </row>
    <row r="452" spans="14:14">
      <c r="N452" s="12" t="s">
        <v>100</v>
      </c>
    </row>
    <row r="453" spans="14:14">
      <c r="N453" s="12" t="s">
        <v>100</v>
      </c>
    </row>
    <row r="454" spans="14:14">
      <c r="N454" s="12" t="s">
        <v>100</v>
      </c>
    </row>
    <row r="455" spans="14:14">
      <c r="N455" s="12" t="s">
        <v>100</v>
      </c>
    </row>
    <row r="456" spans="14:14">
      <c r="N456" s="12" t="s">
        <v>100</v>
      </c>
    </row>
    <row r="457" spans="14:14">
      <c r="N457" s="12" t="s">
        <v>100</v>
      </c>
    </row>
    <row r="458" spans="14:14">
      <c r="N458" s="12" t="s">
        <v>100</v>
      </c>
    </row>
    <row r="459" spans="14:14">
      <c r="N459" s="12" t="s">
        <v>100</v>
      </c>
    </row>
    <row r="460" spans="14:14">
      <c r="N460" s="12" t="s">
        <v>100</v>
      </c>
    </row>
    <row r="461" spans="14:14">
      <c r="N461" s="12" t="s">
        <v>100</v>
      </c>
    </row>
    <row r="462" spans="14:14">
      <c r="N462" s="12" t="s">
        <v>100</v>
      </c>
    </row>
    <row r="463" spans="14:14">
      <c r="N463" s="12" t="s">
        <v>100</v>
      </c>
    </row>
    <row r="464" spans="14:14">
      <c r="N464" s="12" t="s">
        <v>100</v>
      </c>
    </row>
    <row r="465" spans="14:14">
      <c r="N465" s="12" t="s">
        <v>100</v>
      </c>
    </row>
    <row r="466" spans="14:14">
      <c r="N466" s="12" t="s">
        <v>100</v>
      </c>
    </row>
    <row r="467" spans="14:14">
      <c r="N467" s="12" t="s">
        <v>100</v>
      </c>
    </row>
    <row r="468" spans="14:14">
      <c r="N468" s="12" t="s">
        <v>100</v>
      </c>
    </row>
    <row r="469" spans="14:14">
      <c r="N469" s="12" t="s">
        <v>100</v>
      </c>
    </row>
    <row r="470" spans="14:14">
      <c r="N470" s="12" t="s">
        <v>100</v>
      </c>
    </row>
    <row r="471" spans="14:14">
      <c r="N471" s="12" t="s">
        <v>100</v>
      </c>
    </row>
    <row r="472" spans="14:14">
      <c r="N472" s="12" t="s">
        <v>100</v>
      </c>
    </row>
    <row r="473" spans="14:14">
      <c r="N473" s="12" t="s">
        <v>100</v>
      </c>
    </row>
    <row r="474" spans="14:14">
      <c r="N474" s="12" t="s">
        <v>100</v>
      </c>
    </row>
    <row r="475" spans="14:14">
      <c r="N475" s="12" t="s">
        <v>100</v>
      </c>
    </row>
    <row r="476" spans="14:14">
      <c r="N476" s="12" t="s">
        <v>100</v>
      </c>
    </row>
    <row r="477" spans="14:14">
      <c r="N477" s="12" t="s">
        <v>100</v>
      </c>
    </row>
    <row r="478" spans="14:14">
      <c r="N478" s="12" t="s">
        <v>100</v>
      </c>
    </row>
    <row r="479" spans="14:14">
      <c r="N479" s="12" t="s">
        <v>100</v>
      </c>
    </row>
    <row r="480" spans="14:14">
      <c r="N480" s="12" t="s">
        <v>100</v>
      </c>
    </row>
    <row r="481" spans="14:14">
      <c r="N481" s="12" t="s">
        <v>100</v>
      </c>
    </row>
    <row r="482" spans="14:14">
      <c r="N482" s="12" t="s">
        <v>100</v>
      </c>
    </row>
    <row r="483" spans="14:14">
      <c r="N483" s="12" t="s">
        <v>100</v>
      </c>
    </row>
    <row r="484" spans="14:14">
      <c r="N484" s="12" t="s">
        <v>100</v>
      </c>
    </row>
    <row r="485" spans="14:14">
      <c r="N485" s="12" t="s">
        <v>100</v>
      </c>
    </row>
    <row r="486" spans="14:14">
      <c r="N486" s="12" t="s">
        <v>100</v>
      </c>
    </row>
    <row r="487" spans="14:14">
      <c r="N487" s="12" t="s">
        <v>100</v>
      </c>
    </row>
    <row r="488" spans="14:14">
      <c r="N488" s="12" t="s">
        <v>100</v>
      </c>
    </row>
    <row r="489" spans="14:14">
      <c r="N489" s="12" t="s">
        <v>100</v>
      </c>
    </row>
    <row r="490" spans="14:14">
      <c r="N490" s="12" t="s">
        <v>100</v>
      </c>
    </row>
    <row r="491" spans="14:14">
      <c r="N491" s="12" t="s">
        <v>100</v>
      </c>
    </row>
    <row r="492" spans="14:14">
      <c r="N492" s="12" t="s">
        <v>100</v>
      </c>
    </row>
    <row r="493" spans="14:14">
      <c r="N493" s="12" t="s">
        <v>100</v>
      </c>
    </row>
    <row r="494" spans="14:14">
      <c r="N494" s="12" t="s">
        <v>100</v>
      </c>
    </row>
    <row r="495" spans="14:14">
      <c r="N495" s="12" t="s">
        <v>100</v>
      </c>
    </row>
    <row r="496" spans="14:14">
      <c r="N496" s="12" t="s">
        <v>100</v>
      </c>
    </row>
    <row r="497" spans="14:14">
      <c r="N497" s="12" t="s">
        <v>100</v>
      </c>
    </row>
    <row r="498" spans="14:14">
      <c r="N498" s="12" t="s">
        <v>100</v>
      </c>
    </row>
    <row r="499" spans="14:14">
      <c r="N499" s="12" t="s">
        <v>100</v>
      </c>
    </row>
  </sheetData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>
    <tabColor theme="9" tint="0.59999389629810485"/>
  </sheetPr>
  <dimension ref="A1:O195"/>
  <sheetViews>
    <sheetView tabSelected="1" zoomScale="60" zoomScaleNormal="60" workbookViewId="0">
      <pane ySplit="7" topLeftCell="A8" activePane="bottomLeft" state="frozen"/>
      <selection pane="bottomLeft" activeCell="E17" sqref="E17"/>
    </sheetView>
  </sheetViews>
  <sheetFormatPr defaultRowHeight="15.75"/>
  <cols>
    <col min="1" max="1" width="48.25" customWidth="1"/>
    <col min="2" max="2" width="31.875" bestFit="1" customWidth="1"/>
    <col min="3" max="3" width="38" bestFit="1" customWidth="1"/>
    <col min="4" max="4" width="16.375" bestFit="1" customWidth="1"/>
    <col min="5" max="5" width="20.5" bestFit="1" customWidth="1"/>
    <col min="6" max="6" width="16.375" bestFit="1" customWidth="1"/>
    <col min="7" max="7" width="22.75" bestFit="1" customWidth="1"/>
    <col min="8" max="8" width="39.625" customWidth="1"/>
    <col min="9" max="9" width="18.625" bestFit="1" customWidth="1"/>
    <col min="10" max="10" width="19" bestFit="1" customWidth="1"/>
    <col min="11" max="11" width="11.75" bestFit="1" customWidth="1"/>
    <col min="13" max="13" width="13.375" customWidth="1"/>
    <col min="14" max="14" width="11.75" bestFit="1" customWidth="1"/>
    <col min="15" max="15" width="11.375" bestFit="1" customWidth="1"/>
  </cols>
  <sheetData>
    <row r="1" spans="1:15" ht="32.25" thickBot="1">
      <c r="A1" s="68" t="s">
        <v>121</v>
      </c>
      <c r="B1" s="68"/>
      <c r="C1" s="68"/>
      <c r="D1" s="68"/>
      <c r="E1" s="68"/>
      <c r="F1" s="69"/>
      <c r="G1" s="70"/>
      <c r="H1" s="71" t="s">
        <v>122</v>
      </c>
      <c r="I1" s="68"/>
      <c r="J1" s="72"/>
      <c r="K1" s="72"/>
      <c r="L1" s="72"/>
      <c r="M1" s="72"/>
      <c r="N1" s="72"/>
      <c r="O1" s="146" t="s">
        <v>123</v>
      </c>
    </row>
    <row r="2" spans="1:15">
      <c r="A2" s="73" t="s">
        <v>120</v>
      </c>
      <c r="B2" s="74">
        <f>'extractie-dln'!F4</f>
        <v>2426608</v>
      </c>
      <c r="C2" s="141" t="s">
        <v>124</v>
      </c>
      <c r="D2" s="74"/>
      <c r="E2" s="142">
        <f>DATE(YEAR(B7),MONTH(B7)+804,1)</f>
        <v>49766</v>
      </c>
      <c r="F2" s="75"/>
      <c r="G2" s="76"/>
      <c r="H2" s="73" t="s">
        <v>125</v>
      </c>
      <c r="I2" s="75"/>
      <c r="J2" s="140">
        <f>'extractie-dln'!F3</f>
        <v>42736</v>
      </c>
      <c r="K2" s="75"/>
      <c r="L2" s="75"/>
      <c r="M2" s="75"/>
      <c r="N2" s="75"/>
      <c r="O2" s="145">
        <v>18500101</v>
      </c>
    </row>
    <row r="3" spans="1:15">
      <c r="A3" s="77" t="s">
        <v>94</v>
      </c>
      <c r="B3" s="78">
        <f>'extractie-dln'!F5</f>
        <v>157847378</v>
      </c>
      <c r="C3" s="78"/>
      <c r="D3" s="78"/>
      <c r="E3" s="78"/>
      <c r="F3" s="79"/>
      <c r="G3" s="80"/>
      <c r="H3" s="77" t="s">
        <v>126</v>
      </c>
      <c r="I3" s="79"/>
      <c r="J3" s="139">
        <f>ROUNDDOWN(YEARFRAC(DATE(YEAR(B7),MONTH(B7),1),J2),0)</f>
        <v>47</v>
      </c>
      <c r="K3" s="79"/>
      <c r="L3" s="79"/>
      <c r="M3" s="79"/>
      <c r="N3" s="79"/>
      <c r="O3" s="134">
        <v>19000101</v>
      </c>
    </row>
    <row r="4" spans="1:15">
      <c r="A4" s="77" t="s">
        <v>39</v>
      </c>
      <c r="B4" s="78" t="str">
        <f>'extractie-dln'!F6</f>
        <v>V.B.M. Wouters</v>
      </c>
      <c r="C4" s="78"/>
      <c r="D4" s="78"/>
      <c r="E4" s="78"/>
      <c r="F4" s="79"/>
      <c r="G4" s="80"/>
      <c r="H4" s="77" t="s">
        <v>127</v>
      </c>
      <c r="I4" s="79"/>
      <c r="J4" s="79">
        <f>IF(MONTH(B7)=1,0,13-MONTH(B7))</f>
        <v>9</v>
      </c>
      <c r="K4" s="79"/>
      <c r="L4" s="79"/>
      <c r="M4" s="79"/>
      <c r="N4" s="79"/>
      <c r="O4" s="134">
        <v>19480101</v>
      </c>
    </row>
    <row r="5" spans="1:15">
      <c r="A5" s="77" t="s">
        <v>38</v>
      </c>
      <c r="B5" s="78" t="str">
        <f>'extractie-dln'!F7</f>
        <v>mevrouw</v>
      </c>
      <c r="C5" s="327" t="s">
        <v>175</v>
      </c>
      <c r="D5" s="355">
        <f>'extractie-dln'!I28</f>
        <v>20</v>
      </c>
      <c r="E5" s="78"/>
      <c r="F5" s="79"/>
      <c r="G5" s="80"/>
      <c r="H5" s="99" t="s">
        <v>128</v>
      </c>
      <c r="I5" s="148">
        <v>19690419</v>
      </c>
      <c r="J5" s="79"/>
      <c r="K5" s="79"/>
      <c r="L5" s="79"/>
      <c r="M5" s="79"/>
      <c r="N5" s="79"/>
      <c r="O5" s="134">
        <v>19481201</v>
      </c>
    </row>
    <row r="6" spans="1:15">
      <c r="A6" s="77" t="s">
        <v>40</v>
      </c>
      <c r="B6" s="78" t="str">
        <f>'extractie-dln'!F8</f>
        <v>Wouters</v>
      </c>
      <c r="C6" s="340" t="s">
        <v>213</v>
      </c>
      <c r="D6" s="341">
        <f>Opzet_confrontatie!E9</f>
        <v>495</v>
      </c>
      <c r="E6" s="81"/>
      <c r="F6" s="79"/>
      <c r="G6" s="80"/>
      <c r="H6" s="258" t="s">
        <v>189</v>
      </c>
      <c r="I6" s="79">
        <f>VLOOKUP(I5,O2:O20,1,1)</f>
        <v>19560401</v>
      </c>
      <c r="J6" s="143"/>
      <c r="K6" s="79"/>
      <c r="L6" s="79"/>
      <c r="M6" s="79"/>
      <c r="N6" s="79"/>
      <c r="O6" s="134">
        <v>19491101</v>
      </c>
    </row>
    <row r="7" spans="1:15">
      <c r="A7" s="77" t="s">
        <v>36</v>
      </c>
      <c r="B7" s="81">
        <f>'extractie-dln'!F9</f>
        <v>25312</v>
      </c>
      <c r="C7" s="78"/>
      <c r="D7" s="78"/>
      <c r="E7" s="78"/>
      <c r="F7" s="79"/>
      <c r="G7" s="80"/>
      <c r="H7" s="77" t="s">
        <v>129</v>
      </c>
      <c r="I7" s="79"/>
      <c r="J7" s="79"/>
      <c r="K7" s="79"/>
      <c r="L7" s="79"/>
      <c r="M7" s="79"/>
      <c r="N7" s="79"/>
      <c r="O7" s="134">
        <v>19501001</v>
      </c>
    </row>
    <row r="8" spans="1:15">
      <c r="A8" s="77" t="s">
        <v>37</v>
      </c>
      <c r="B8" s="78" t="str">
        <f>'extractie-dln'!F10</f>
        <v>V</v>
      </c>
      <c r="C8" s="78"/>
      <c r="D8" s="78"/>
      <c r="E8" s="78"/>
      <c r="F8" s="79"/>
      <c r="G8" s="80"/>
      <c r="H8" s="82" t="s">
        <v>130</v>
      </c>
      <c r="I8" s="83" t="s">
        <v>131</v>
      </c>
      <c r="J8" s="83" t="s">
        <v>132</v>
      </c>
      <c r="K8" s="264" t="s">
        <v>192</v>
      </c>
      <c r="L8" s="264" t="s">
        <v>193</v>
      </c>
      <c r="M8" s="83"/>
      <c r="N8" s="83"/>
      <c r="O8" s="134">
        <v>19510701</v>
      </c>
    </row>
    <row r="9" spans="1:15">
      <c r="A9" s="77" t="s">
        <v>96</v>
      </c>
      <c r="B9" s="78">
        <f>'extractie-dln'!F11</f>
        <v>0</v>
      </c>
      <c r="C9" s="78"/>
      <c r="D9" s="78"/>
      <c r="E9" s="78"/>
      <c r="F9" s="79"/>
      <c r="G9" s="80"/>
      <c r="H9" s="77" t="s">
        <v>133</v>
      </c>
      <c r="I9" s="103" t="e">
        <f>DATE(YEAR(I10)-2,MONTH(I10),DAY(I10))</f>
        <v>#VALUE!</v>
      </c>
      <c r="J9" s="79" t="e">
        <f>IF(AND(AOW_min_2&lt;=$E$2,AOW_min_2&gt;J2,D5&lt;&gt;30,D5&lt;&gt;32),"True","false")</f>
        <v>#VALUE!</v>
      </c>
      <c r="K9" s="79" t="e">
        <f>K10-2</f>
        <v>#VALUE!</v>
      </c>
      <c r="L9" s="79" t="e">
        <f>L10</f>
        <v>#VALUE!</v>
      </c>
      <c r="M9" s="79"/>
      <c r="N9" s="79"/>
      <c r="O9" s="134">
        <v>19510801</v>
      </c>
    </row>
    <row r="10" spans="1:15">
      <c r="A10" s="77" t="s">
        <v>98</v>
      </c>
      <c r="B10" s="78">
        <f>'extractie-dln'!F12</f>
        <v>0</v>
      </c>
      <c r="C10" s="78"/>
      <c r="D10" s="78"/>
      <c r="E10" s="78"/>
      <c r="F10" s="79"/>
      <c r="G10" s="80"/>
      <c r="H10" s="77" t="s">
        <v>134</v>
      </c>
      <c r="I10" s="103" t="e">
        <f>DATE(YEAR(B7),MONTH(B7)+HaalWaardeCodeTabelAlsInt("AOW_leeftijd",I6)+1,DAY(1))</f>
        <v>#VALUE!</v>
      </c>
      <c r="J10" s="79" t="e">
        <f>IF(AND(AOW_datum&gt;=J2,D5&lt;&gt;30,D5&lt;&gt;32),"True","false")</f>
        <v>#VALUE!</v>
      </c>
      <c r="K10" s="79" t="e">
        <f>ROUNDDOWN(HaalWaardeCodeTabelAlsInt("AOW_leeftijd",I6)/12,0)</f>
        <v>#VALUE!</v>
      </c>
      <c r="L10" s="79" t="e">
        <f>((HaalWaardeCodeTabelAlsInt("AOW_leeftijd",I6)/12)-ROUNDDOWN(HaalWaardeCodeTabelAlsInt("AOW_leeftijd",I6)/12,0))*12</f>
        <v>#VALUE!</v>
      </c>
      <c r="M10" s="79"/>
      <c r="N10" s="79"/>
      <c r="O10" s="134">
        <v>19520401</v>
      </c>
    </row>
    <row r="11" spans="1:15">
      <c r="A11" s="77" t="s">
        <v>97</v>
      </c>
      <c r="B11" s="78" t="str">
        <f>'extractie-dln'!F13</f>
        <v/>
      </c>
      <c r="C11" s="78"/>
      <c r="D11" s="78"/>
      <c r="E11" s="78"/>
      <c r="F11" s="79"/>
      <c r="G11" s="80"/>
      <c r="H11" s="84" t="s">
        <v>135</v>
      </c>
      <c r="I11" s="259" t="e">
        <f>DATE(YEAR(I10)+1,MONTH(I10),DAY(I10))</f>
        <v>#VALUE!</v>
      </c>
      <c r="J11" s="259" t="e">
        <f>IF(AND(AOW_plus_1&gt;=J2,D5&lt;&gt;30,D5&lt;&gt;32),"True","false")</f>
        <v>#VALUE!</v>
      </c>
      <c r="K11" s="85" t="e">
        <f>K10+1</f>
        <v>#VALUE!</v>
      </c>
      <c r="L11" s="85" t="e">
        <f>L10</f>
        <v>#VALUE!</v>
      </c>
      <c r="M11" s="85"/>
      <c r="N11" s="85"/>
      <c r="O11" s="134">
        <v>19520601</v>
      </c>
    </row>
    <row r="12" spans="1:15">
      <c r="A12" s="77" t="s">
        <v>95</v>
      </c>
      <c r="B12" s="78" t="str">
        <f>'extractie-dln'!F14</f>
        <v>Herculeshof 33 E</v>
      </c>
      <c r="C12" s="78"/>
      <c r="D12" s="78"/>
      <c r="E12" s="78"/>
      <c r="F12" s="79"/>
      <c r="G12" s="80"/>
      <c r="H12" s="99" t="s">
        <v>136</v>
      </c>
      <c r="I12" s="401" t="s">
        <v>137</v>
      </c>
      <c r="J12" s="101" t="s">
        <v>138</v>
      </c>
      <c r="K12" s="101"/>
      <c r="L12" s="79"/>
      <c r="M12" s="79"/>
      <c r="N12" s="79"/>
      <c r="O12" s="134">
        <v>19530101</v>
      </c>
    </row>
    <row r="13" spans="1:15">
      <c r="A13" s="77" t="s">
        <v>93</v>
      </c>
      <c r="B13" s="78" t="str">
        <f>'extractie-dln'!F15</f>
        <v>6215 BG MAASTRICHT</v>
      </c>
      <c r="C13" s="78"/>
      <c r="D13" s="78"/>
      <c r="E13" s="78"/>
      <c r="F13" s="79"/>
      <c r="G13" s="80"/>
      <c r="H13" s="99" t="s">
        <v>139</v>
      </c>
      <c r="I13" s="78">
        <v>20</v>
      </c>
      <c r="J13" s="78">
        <f>COUNTIF('extractie-dln'!$N$28:$W$28,deelberekening!I13)</f>
        <v>1</v>
      </c>
      <c r="K13" s="79"/>
      <c r="L13" s="79"/>
      <c r="M13" s="79"/>
      <c r="N13" s="79"/>
      <c r="O13" s="134">
        <v>19530401</v>
      </c>
    </row>
    <row r="14" spans="1:15">
      <c r="A14" s="77" t="s">
        <v>92</v>
      </c>
      <c r="B14" s="78">
        <f>'extractie-dln'!F16</f>
        <v>0</v>
      </c>
      <c r="C14" s="78"/>
      <c r="D14" s="78"/>
      <c r="E14" s="78"/>
      <c r="F14" s="79"/>
      <c r="G14" s="80"/>
      <c r="H14" s="99" t="s">
        <v>140</v>
      </c>
      <c r="I14" s="78">
        <v>32</v>
      </c>
      <c r="J14" s="78">
        <f>COUNTIF('extractie-dln'!$N$28:$W$28,deelberekening!I14)</f>
        <v>0</v>
      </c>
      <c r="K14" s="79"/>
      <c r="L14" s="79"/>
      <c r="M14" s="79"/>
      <c r="N14" s="79"/>
      <c r="O14" s="134">
        <v>19530901</v>
      </c>
    </row>
    <row r="15" spans="1:15">
      <c r="A15" s="77"/>
      <c r="B15" s="79"/>
      <c r="C15" s="79"/>
      <c r="D15" s="79"/>
      <c r="E15" s="79"/>
      <c r="F15" s="79"/>
      <c r="G15" s="80"/>
      <c r="H15" s="99" t="s">
        <v>141</v>
      </c>
      <c r="I15" s="78">
        <v>30</v>
      </c>
      <c r="J15" s="78">
        <f>COUNTIF('extractie-dln'!$N$28:$W$28,deelberekening!I15)</f>
        <v>0</v>
      </c>
      <c r="K15" s="79"/>
      <c r="L15" s="79"/>
      <c r="M15" s="79"/>
      <c r="N15" s="79"/>
      <c r="O15" s="134">
        <v>19540101</v>
      </c>
    </row>
    <row r="16" spans="1:15">
      <c r="A16" s="77"/>
      <c r="B16" s="79"/>
      <c r="C16" s="79"/>
      <c r="D16" s="79"/>
      <c r="E16" s="79"/>
      <c r="F16" s="79"/>
      <c r="G16" s="80"/>
      <c r="H16" s="99" t="s">
        <v>142</v>
      </c>
      <c r="I16" s="78">
        <v>40</v>
      </c>
      <c r="J16" s="78">
        <f>COUNTIF('extractie-dln'!$N$28:$W$28,deelberekening!I16)</f>
        <v>0</v>
      </c>
      <c r="K16" s="79"/>
      <c r="L16" s="79"/>
      <c r="M16" s="79"/>
      <c r="N16" s="79"/>
      <c r="O16" s="134">
        <v>19540501</v>
      </c>
    </row>
    <row r="17" spans="1:15">
      <c r="A17" s="77"/>
      <c r="B17" s="79"/>
      <c r="C17" s="79">
        <v>1234</v>
      </c>
      <c r="D17" s="79"/>
      <c r="E17" s="79" t="str">
        <f>HaalWaardeCodeTabelAlsInt("AOW_leeftijd",I6)</f>
        <v>ImportError: No module named 'rekensheet'
  File "&lt;frozen importlib._bootstrap&gt;", line 956, in _find_and_load_unlocked
  File "&lt;frozen importlib._bootstrap&gt;", line 969, in _find_and_load
  File "&lt;frozen importlib._bootstrap&gt;", line 986, in _gcd_import
    return _bootstrap._gcd_import(name[level:], package, level)
  File "E:\krokus-32-bin\Anaconda3\lib\importlib\__init__.py", line 126, in import_module
    module = import_module(module_name)
  File "E:\krokus-32-bin\Anaconda3\lib\site-packages\xlwings\udfs.py", line 208, in get_udf_module
    module = get_udf_module(module_name)
  File "E:\krokus-32-bin\Anaconda3\lib\site-packages\xlwings\udfs.py", line 221, in call_udf
    res = call_udf(script, fname, args, this_workbook, FromVariant(caller))
  File "E:\krokus-32-bin\Anaconda3\lib\site-packages\xlwings\server.py", line 190, in CallUDF
    return func(*args)
  File "E:\krokus-32-bin\Anaconda3\lib\site-packages\win32com\server\policy.py", line 586, in _invokeex_
    return S_OK, -1, self._invokeex_(dispid, lcid, wFlags, args, None, None)
  File "E:\krokus-32-bin\Anaconda3\lib\site-packages\win32com\server\policy.py", line 283, in _invoke_
    return self._invoke_(dispid, lcid, wFlags, args)
  File "E:\krokus-32-bin\Anaconda3\lib\site-packages\win32com\server\policy.py", line 278, in _Invoke_</v>
      </c>
      <c r="F17" s="79"/>
      <c r="G17" s="80"/>
      <c r="H17" s="99" t="s">
        <v>143</v>
      </c>
      <c r="I17" s="78">
        <v>27</v>
      </c>
      <c r="J17" s="78">
        <f>COUNTIF('extractie-dln'!$N$28:$W$28,deelberekening!I17)</f>
        <v>0</v>
      </c>
      <c r="K17" s="79"/>
      <c r="L17" s="79"/>
      <c r="M17" s="79"/>
      <c r="N17" s="79"/>
      <c r="O17" s="134">
        <v>19541001</v>
      </c>
    </row>
    <row r="18" spans="1:15">
      <c r="A18" s="77"/>
      <c r="B18" s="79"/>
      <c r="C18" s="79"/>
      <c r="D18" s="79"/>
      <c r="E18" s="79"/>
      <c r="F18" s="79"/>
      <c r="G18" s="80"/>
      <c r="H18" s="99" t="s">
        <v>144</v>
      </c>
      <c r="I18" s="78">
        <v>56</v>
      </c>
      <c r="J18" s="78">
        <f>COUNTIF('extractie-dln'!$N$28:$W$28,deelberekening!I18)</f>
        <v>0</v>
      </c>
      <c r="K18" s="79"/>
      <c r="L18" s="79"/>
      <c r="M18" s="79"/>
      <c r="N18" s="79"/>
      <c r="O18" s="134">
        <v>19550101</v>
      </c>
    </row>
    <row r="19" spans="1:15">
      <c r="A19" s="77"/>
      <c r="B19" s="79"/>
      <c r="C19" s="79"/>
      <c r="D19" s="79"/>
      <c r="E19" s="79"/>
      <c r="F19" s="79"/>
      <c r="G19" s="80"/>
      <c r="H19" s="211"/>
      <c r="I19" s="78"/>
      <c r="J19" s="78"/>
      <c r="K19" s="79"/>
      <c r="L19" s="79"/>
      <c r="M19" s="79"/>
      <c r="N19" s="79"/>
      <c r="O19" s="134">
        <v>19550701</v>
      </c>
    </row>
    <row r="20" spans="1:15" ht="16.5" thickBot="1">
      <c r="A20" s="86"/>
      <c r="B20" s="87"/>
      <c r="C20" s="87"/>
      <c r="D20" s="87"/>
      <c r="E20" s="87"/>
      <c r="F20" s="87"/>
      <c r="G20" s="88"/>
      <c r="H20" s="104"/>
      <c r="I20" s="144"/>
      <c r="J20" s="87"/>
      <c r="K20" s="87"/>
      <c r="L20" s="87"/>
      <c r="M20" s="87"/>
      <c r="N20" s="87"/>
      <c r="O20" s="147">
        <v>19560401</v>
      </c>
    </row>
    <row r="21" spans="1:15" ht="16.5" thickBot="1">
      <c r="A21" s="89"/>
      <c r="B21" s="89"/>
      <c r="C21" s="89"/>
      <c r="D21" s="89"/>
      <c r="E21" s="89"/>
      <c r="F21" s="89"/>
      <c r="G21" s="89"/>
      <c r="H21" s="89"/>
      <c r="I21" s="89"/>
      <c r="J21" s="89"/>
      <c r="K21" s="89"/>
      <c r="L21" s="89"/>
      <c r="M21" s="89"/>
      <c r="N21" s="89"/>
      <c r="O21" s="89"/>
    </row>
    <row r="22" spans="1:15" ht="16.5" thickBot="1">
      <c r="A22" s="90"/>
      <c r="B22" s="90"/>
      <c r="C22" s="90"/>
      <c r="D22" s="90"/>
      <c r="E22" s="90"/>
      <c r="F22" s="90"/>
      <c r="G22" s="90"/>
      <c r="H22" s="90"/>
      <c r="I22" s="90"/>
      <c r="J22" s="90"/>
      <c r="K22" s="90"/>
      <c r="L22" s="90"/>
      <c r="M22" s="90"/>
      <c r="N22" s="90"/>
      <c r="O22" s="91"/>
    </row>
    <row r="23" spans="1:15" ht="16.5" thickBot="1">
      <c r="A23" s="67"/>
      <c r="B23" s="67"/>
      <c r="C23" s="67"/>
      <c r="D23" s="67"/>
      <c r="E23" s="67"/>
      <c r="F23" s="67"/>
      <c r="G23" s="67"/>
      <c r="H23" s="67"/>
      <c r="I23" s="67"/>
      <c r="J23" s="67"/>
      <c r="K23" s="67"/>
      <c r="L23" s="67"/>
      <c r="M23" s="67"/>
      <c r="N23" s="67"/>
      <c r="O23" s="67"/>
    </row>
    <row r="24" spans="1:15" ht="32.25" thickBot="1">
      <c r="A24" s="92" t="s">
        <v>145</v>
      </c>
      <c r="B24" s="93"/>
      <c r="C24" s="93"/>
      <c r="D24" s="93"/>
      <c r="E24" s="93"/>
      <c r="F24" s="93"/>
      <c r="G24" s="94"/>
      <c r="H24" s="94"/>
      <c r="I24" s="94"/>
      <c r="J24" s="94"/>
      <c r="K24" s="94"/>
      <c r="L24" s="94"/>
      <c r="M24" s="94"/>
      <c r="N24" s="94"/>
      <c r="O24" s="95"/>
    </row>
    <row r="25" spans="1:15">
      <c r="A25" s="96" t="s">
        <v>146</v>
      </c>
      <c r="B25" s="137">
        <f>Salaris_fictief</f>
        <v>26118.0939</v>
      </c>
      <c r="C25" s="97" t="s">
        <v>202</v>
      </c>
      <c r="D25" s="97">
        <v>0.7</v>
      </c>
      <c r="E25" s="97"/>
      <c r="F25" s="98"/>
      <c r="G25" s="98"/>
      <c r="H25" s="98"/>
      <c r="I25" s="75"/>
      <c r="J25" s="75"/>
      <c r="K25" s="75"/>
      <c r="L25" s="75"/>
      <c r="M25" s="75"/>
      <c r="N25" s="75"/>
      <c r="O25" s="76"/>
    </row>
    <row r="26" spans="1:15" s="378" customFormat="1">
      <c r="A26" s="255" t="s">
        <v>542</v>
      </c>
      <c r="B26" s="256">
        <f>Salaris_fictief_exc</f>
        <v>26118.0939</v>
      </c>
      <c r="C26" s="257"/>
      <c r="D26" s="257"/>
      <c r="E26" s="257"/>
      <c r="F26" s="102"/>
      <c r="G26" s="102"/>
      <c r="H26" s="102"/>
      <c r="I26" s="79"/>
      <c r="J26" s="79"/>
      <c r="K26" s="79"/>
      <c r="L26" s="79"/>
      <c r="M26" s="79"/>
      <c r="N26" s="79"/>
      <c r="O26" s="80"/>
    </row>
    <row r="27" spans="1:15" s="174" customFormat="1">
      <c r="A27" s="255" t="s">
        <v>188</v>
      </c>
      <c r="B27" s="256">
        <f>Loon_max_opbouw</f>
        <v>103317</v>
      </c>
      <c r="C27" s="257" t="s">
        <v>238</v>
      </c>
      <c r="D27" s="257">
        <v>20</v>
      </c>
      <c r="E27" s="257"/>
      <c r="F27" s="102"/>
      <c r="G27" s="102"/>
      <c r="H27" s="102"/>
      <c r="I27" s="79"/>
      <c r="J27" s="79"/>
      <c r="K27" s="79"/>
      <c r="L27" s="79"/>
      <c r="M27" s="79"/>
      <c r="N27" s="79"/>
      <c r="O27" s="80"/>
    </row>
    <row r="28" spans="1:15">
      <c r="A28" s="99" t="s">
        <v>147</v>
      </c>
      <c r="B28" s="136">
        <f>Franchise_extr</f>
        <v>12866</v>
      </c>
      <c r="C28" s="100"/>
      <c r="D28" s="100"/>
      <c r="E28" s="100"/>
      <c r="F28" s="101"/>
      <c r="G28" s="102"/>
      <c r="H28" s="102"/>
      <c r="I28" s="79"/>
      <c r="J28" s="79"/>
      <c r="K28" s="79"/>
      <c r="L28" s="79"/>
      <c r="M28" s="79"/>
      <c r="N28" s="79"/>
      <c r="O28" s="80"/>
    </row>
    <row r="29" spans="1:15" s="378" customFormat="1">
      <c r="A29" s="390" t="s">
        <v>543</v>
      </c>
      <c r="B29" s="136">
        <f>Excedentgrens</f>
        <v>53701</v>
      </c>
      <c r="C29" s="100"/>
      <c r="D29" s="100"/>
      <c r="E29" s="100"/>
      <c r="F29" s="101"/>
      <c r="G29" s="102"/>
      <c r="H29" s="102"/>
      <c r="I29" s="79"/>
      <c r="J29" s="79"/>
      <c r="K29" s="79"/>
      <c r="L29" s="79"/>
      <c r="M29" s="79"/>
      <c r="N29" s="79"/>
      <c r="O29" s="80"/>
    </row>
    <row r="30" spans="1:15">
      <c r="A30" s="359" t="s">
        <v>501</v>
      </c>
      <c r="B30" s="192">
        <f>MAX(0,MIN(Pensioensalaris,B29)-Franchise)</f>
        <v>13252.0939</v>
      </c>
      <c r="C30" s="79"/>
      <c r="D30" s="143"/>
      <c r="E30" s="79"/>
      <c r="F30" s="101"/>
      <c r="G30" s="102"/>
      <c r="H30" s="102"/>
      <c r="I30" s="79"/>
      <c r="J30" s="79"/>
      <c r="K30" s="79"/>
      <c r="L30" s="79"/>
      <c r="M30" s="79"/>
      <c r="N30" s="79"/>
      <c r="O30" s="80"/>
    </row>
    <row r="31" spans="1:15" s="378" customFormat="1">
      <c r="A31" s="389" t="s">
        <v>520</v>
      </c>
      <c r="B31" s="192">
        <f>MAX(0,MIN(Pensioensalaris_exc:Fiscaal_max)-B29)</f>
        <v>0</v>
      </c>
      <c r="C31" s="79"/>
      <c r="D31" s="143"/>
      <c r="E31" s="79"/>
      <c r="F31" s="101"/>
      <c r="G31" s="102"/>
      <c r="H31" s="102"/>
      <c r="I31" s="79"/>
      <c r="J31" s="79"/>
      <c r="K31" s="79"/>
      <c r="L31" s="79"/>
      <c r="M31" s="79"/>
      <c r="N31" s="79"/>
      <c r="O31" s="80"/>
    </row>
    <row r="32" spans="1:15" s="378" customFormat="1">
      <c r="A32" s="390" t="s">
        <v>546</v>
      </c>
      <c r="B32" s="192">
        <f>PG_AO</f>
        <v>0</v>
      </c>
      <c r="C32" s="79"/>
      <c r="D32" s="143"/>
      <c r="E32" s="79"/>
      <c r="F32" s="101"/>
      <c r="G32" s="102"/>
      <c r="H32" s="102"/>
      <c r="I32" s="79"/>
      <c r="J32" s="79"/>
      <c r="K32" s="79"/>
      <c r="L32" s="79"/>
      <c r="M32" s="79"/>
      <c r="N32" s="79"/>
      <c r="O32" s="80"/>
    </row>
    <row r="33" spans="1:15" s="378" customFormat="1">
      <c r="A33" s="408" t="s">
        <v>577</v>
      </c>
      <c r="B33" s="192">
        <f>+PG_AO_exc</f>
        <v>0</v>
      </c>
      <c r="C33" s="79"/>
      <c r="D33" s="143"/>
      <c r="E33" s="79"/>
      <c r="F33" s="101"/>
      <c r="G33" s="102"/>
      <c r="H33" s="102"/>
      <c r="I33" s="79"/>
      <c r="J33" s="79"/>
      <c r="K33" s="79"/>
      <c r="L33" s="79"/>
      <c r="M33" s="79"/>
      <c r="N33" s="79"/>
      <c r="O33" s="80"/>
    </row>
    <row r="34" spans="1:15">
      <c r="A34" s="99" t="s">
        <v>148</v>
      </c>
      <c r="B34" s="135">
        <f>Parttimepercentage</f>
        <v>0.76976</v>
      </c>
      <c r="C34" s="79"/>
      <c r="D34" s="143"/>
      <c r="E34" s="79"/>
      <c r="F34" s="101"/>
      <c r="G34" s="102"/>
      <c r="H34" s="102"/>
      <c r="I34" s="79"/>
      <c r="J34" s="79"/>
      <c r="K34" s="79"/>
      <c r="L34" s="79"/>
      <c r="M34" s="79"/>
      <c r="N34" s="79"/>
      <c r="O34" s="80"/>
    </row>
    <row r="35" spans="1:15" s="174" customFormat="1">
      <c r="A35" s="390" t="s">
        <v>236</v>
      </c>
      <c r="B35" s="135"/>
      <c r="C35" s="79"/>
      <c r="D35" s="143"/>
      <c r="E35" s="79"/>
      <c r="F35" s="101"/>
      <c r="G35" s="102"/>
      <c r="H35" s="102"/>
      <c r="I35" s="79"/>
      <c r="J35" s="79"/>
      <c r="K35" s="79"/>
      <c r="L35" s="79"/>
      <c r="M35" s="79"/>
      <c r="N35" s="79"/>
      <c r="O35" s="80"/>
    </row>
    <row r="36" spans="1:15">
      <c r="A36" s="99" t="s">
        <v>149</v>
      </c>
      <c r="B36" s="135">
        <f>MAX(WAO_vzt_Totaal,WIA_vzt_Totaal)/100</f>
        <v>0</v>
      </c>
      <c r="C36" s="79"/>
      <c r="D36" s="79"/>
      <c r="E36" s="79"/>
      <c r="F36" s="101"/>
      <c r="G36" s="79"/>
      <c r="H36" s="103"/>
      <c r="I36" s="79"/>
      <c r="J36" s="79"/>
      <c r="K36" s="79"/>
      <c r="L36" s="79"/>
      <c r="M36" s="79"/>
      <c r="N36" s="79"/>
      <c r="O36" s="80"/>
    </row>
    <row r="37" spans="1:15" s="378" customFormat="1">
      <c r="A37" s="408" t="s">
        <v>573</v>
      </c>
      <c r="B37" s="409" t="e">
        <f>DATE(YEAR(B7),MONTH(B7)+HaalWaardeCodeTabelAlsInt("AOW_leeftijd",I6)+1,DAY(Geboortedatum))</f>
        <v>#VALUE!</v>
      </c>
      <c r="C37" s="79"/>
      <c r="D37" s="79"/>
      <c r="E37" s="79"/>
      <c r="F37" s="101"/>
      <c r="G37" s="79"/>
      <c r="H37" s="103"/>
      <c r="I37" s="79"/>
      <c r="J37" s="79"/>
      <c r="K37" s="79"/>
      <c r="L37" s="79"/>
      <c r="M37" s="79"/>
      <c r="N37" s="79"/>
      <c r="O37" s="80"/>
    </row>
    <row r="38" spans="1:15" ht="16.5" thickBot="1">
      <c r="A38" s="104" t="s">
        <v>150</v>
      </c>
      <c r="B38" s="193">
        <f>Opbouwpercentage_extractie/100</f>
        <v>1.7500000000000002E-2</v>
      </c>
      <c r="C38" s="87"/>
      <c r="D38" s="87"/>
      <c r="E38" s="87"/>
      <c r="F38" s="105"/>
      <c r="G38" s="87"/>
      <c r="H38" s="106"/>
      <c r="I38" s="87"/>
      <c r="J38" s="87"/>
      <c r="K38" s="87"/>
      <c r="L38" s="87"/>
      <c r="M38" s="87"/>
      <c r="N38" s="87"/>
      <c r="O38" s="88"/>
    </row>
    <row r="39" spans="1:15" s="174" customFormat="1" ht="32.25" thickBot="1">
      <c r="A39" s="92" t="s">
        <v>172</v>
      </c>
      <c r="B39" s="94"/>
      <c r="C39" s="94"/>
      <c r="D39" s="94"/>
      <c r="E39" s="94"/>
      <c r="F39" s="201"/>
      <c r="G39" s="94"/>
      <c r="H39" s="199"/>
      <c r="I39" s="94"/>
      <c r="J39" s="94"/>
      <c r="K39" s="94"/>
      <c r="L39" s="94"/>
      <c r="M39" s="94"/>
      <c r="N39" s="94"/>
      <c r="O39" s="200"/>
    </row>
    <row r="40" spans="1:15">
      <c r="A40" s="138" t="s">
        <v>231</v>
      </c>
      <c r="B40" s="143"/>
      <c r="C40" s="138" t="s">
        <v>232</v>
      </c>
      <c r="D40" s="153"/>
      <c r="E40" s="143"/>
      <c r="F40" s="101"/>
      <c r="G40" s="151"/>
      <c r="H40" s="101"/>
      <c r="I40" s="153"/>
      <c r="J40" s="152"/>
      <c r="K40" s="151"/>
      <c r="L40" s="101"/>
      <c r="M40" s="79"/>
      <c r="N40" s="79"/>
      <c r="O40" s="80"/>
    </row>
    <row r="41" spans="1:15">
      <c r="A41" s="352" t="s">
        <v>151</v>
      </c>
      <c r="B41" s="79">
        <f>Opgebouwd67+Opgebouwd_exc_67-Fictieve_opbouw_67_4wk-Fictieve_opbouw_67_mnd-Fictieve_opbouwexc_67_4wk-Fictieve_opbouwexc_67_mnd</f>
        <v>1132.1099999999999</v>
      </c>
      <c r="C41" s="194"/>
      <c r="D41" s="209"/>
      <c r="E41" s="300"/>
      <c r="F41" s="102"/>
      <c r="G41" s="194"/>
      <c r="H41" s="208"/>
      <c r="I41" s="332"/>
      <c r="J41" s="298"/>
      <c r="K41" s="194"/>
      <c r="L41" s="196"/>
      <c r="M41" s="79"/>
      <c r="N41" s="79"/>
      <c r="O41" s="80"/>
    </row>
    <row r="42" spans="1:15">
      <c r="A42" s="352" t="s">
        <v>233</v>
      </c>
      <c r="B42" s="143">
        <f>DATEDIF(Rekendatum,Norm_pensioenleeftijd,"m")/12</f>
        <v>19.25</v>
      </c>
      <c r="C42" s="364" t="s">
        <v>504</v>
      </c>
      <c r="D42" s="208">
        <f>LOP_middelloon_oud</f>
        <v>0</v>
      </c>
      <c r="E42" s="300"/>
      <c r="F42" s="102"/>
      <c r="G42" s="194"/>
      <c r="H42" s="208"/>
      <c r="I42" s="79"/>
      <c r="J42" s="214"/>
      <c r="K42" s="194"/>
      <c r="L42" s="196"/>
      <c r="M42" s="79"/>
      <c r="N42" s="79"/>
      <c r="O42" s="80"/>
    </row>
    <row r="43" spans="1:15" s="174" customFormat="1">
      <c r="A43" s="359" t="s">
        <v>505</v>
      </c>
      <c r="B43" s="143" t="e">
        <f>IF(AOW_datum&lt;Rekendatum,0,MAX(0,DATEDIF(Rekendatum,MIN(Norm_pensioenleeftijd,AOW_datum),"m")/12))</f>
        <v>#VALUE!</v>
      </c>
      <c r="C43" s="150"/>
      <c r="D43" s="102"/>
      <c r="E43" s="332"/>
      <c r="F43" s="205"/>
      <c r="G43" s="194"/>
      <c r="H43" s="301"/>
      <c r="I43" s="79"/>
      <c r="J43" s="214"/>
      <c r="K43" s="194"/>
      <c r="L43" s="205"/>
      <c r="M43" s="79"/>
      <c r="N43" s="79"/>
      <c r="O43" s="80"/>
    </row>
    <row r="44" spans="1:15" s="378" customFormat="1">
      <c r="A44" s="386" t="s">
        <v>508</v>
      </c>
      <c r="B44" s="387" t="e">
        <f>IF(AOW_datum&lt;Rekendatum,0,MAX(0,DATEDIF(Rekendatum,Norm_pensioenleeftijd,"m")/12)-DuurVZT)</f>
        <v>#VALUE!</v>
      </c>
      <c r="C44" s="411" t="s">
        <v>575</v>
      </c>
      <c r="D44" s="102">
        <f>WIA_vzt_Totaal+WAO_vzt_Totaal</f>
        <v>0</v>
      </c>
      <c r="E44" s="332"/>
      <c r="F44" s="205"/>
      <c r="G44" s="194"/>
      <c r="H44" s="301"/>
      <c r="I44" s="79"/>
      <c r="J44" s="214"/>
      <c r="K44" s="194"/>
      <c r="L44" s="205"/>
      <c r="M44" s="79"/>
      <c r="N44" s="79"/>
      <c r="O44" s="80"/>
    </row>
    <row r="45" spans="1:15">
      <c r="A45" s="352" t="s">
        <v>234</v>
      </c>
      <c r="B45" s="143" t="e">
        <f>PG_vzt_AO*Opbouwpercentage*DuurVZT*Voortzettingspercentage</f>
        <v>#VALUE!</v>
      </c>
      <c r="C45" s="155"/>
      <c r="D45" s="102"/>
      <c r="E45" s="299"/>
      <c r="F45" s="205"/>
      <c r="G45" s="194"/>
      <c r="H45" s="302"/>
      <c r="I45" s="299"/>
      <c r="J45" s="305"/>
      <c r="K45" s="194"/>
      <c r="L45" s="206"/>
      <c r="M45" s="79"/>
      <c r="N45" s="79"/>
      <c r="O45" s="80"/>
    </row>
    <row r="46" spans="1:15">
      <c r="A46" s="353" t="s">
        <v>235</v>
      </c>
      <c r="B46" s="143">
        <f>PG_ACT*Deeltijdfactor*Opbouwpercentage*Duur</f>
        <v>3436.43890028131</v>
      </c>
      <c r="C46" s="155"/>
      <c r="D46" s="102"/>
      <c r="E46" s="79"/>
      <c r="F46" s="196"/>
      <c r="G46" s="155"/>
      <c r="H46" s="208"/>
      <c r="I46" s="79"/>
      <c r="J46" s="152"/>
      <c r="K46" s="155"/>
      <c r="L46" s="196"/>
      <c r="M46" s="79"/>
      <c r="N46" s="79"/>
      <c r="O46" s="80"/>
    </row>
    <row r="47" spans="1:15" s="378" customFormat="1">
      <c r="A47" s="408" t="s">
        <v>578</v>
      </c>
      <c r="B47" s="143" t="e">
        <f>PG_vzt_AO_exc*Opbouwpercentage*DuurVZT*Voortzettingspercentage</f>
        <v>#VALUE!</v>
      </c>
      <c r="C47" s="155"/>
      <c r="D47" s="102"/>
      <c r="E47" s="79"/>
      <c r="F47" s="196"/>
      <c r="G47" s="155"/>
      <c r="H47" s="208"/>
      <c r="I47" s="79"/>
      <c r="J47" s="152"/>
      <c r="K47" s="155"/>
      <c r="L47" s="196"/>
      <c r="M47" s="79"/>
      <c r="N47" s="79"/>
      <c r="O47" s="80"/>
    </row>
    <row r="48" spans="1:15" s="174" customFormat="1">
      <c r="A48" s="399" t="s">
        <v>551</v>
      </c>
      <c r="B48" s="143">
        <f>PG_ACT_exc*Deeltijdfactor*Opbouwpercentage*Duur</f>
        <v>0</v>
      </c>
      <c r="C48" s="342"/>
      <c r="D48" s="102"/>
      <c r="E48" s="79"/>
      <c r="F48" s="196"/>
      <c r="G48" s="155"/>
      <c r="H48" s="196"/>
      <c r="I48" s="79"/>
      <c r="J48" s="152"/>
      <c r="K48" s="155"/>
      <c r="L48" s="196"/>
      <c r="M48" s="79"/>
      <c r="N48" s="79"/>
      <c r="O48" s="80"/>
    </row>
    <row r="49" spans="1:15" s="378" customFormat="1">
      <c r="A49" s="402" t="s">
        <v>563</v>
      </c>
      <c r="B49" s="143">
        <f>Saldo_ZP*Inkoop_Optiek*Omzetting_65_67</f>
        <v>0</v>
      </c>
      <c r="C49" s="342"/>
      <c r="D49" s="102"/>
      <c r="E49" s="79"/>
      <c r="F49" s="196"/>
      <c r="G49" s="155"/>
      <c r="H49" s="196"/>
      <c r="I49" s="79"/>
      <c r="J49" s="152"/>
      <c r="K49" s="155"/>
      <c r="L49" s="196"/>
      <c r="M49" s="79"/>
      <c r="N49" s="79"/>
      <c r="O49" s="80"/>
    </row>
    <row r="50" spans="1:15" s="378" customFormat="1">
      <c r="A50" s="402" t="s">
        <v>564</v>
      </c>
      <c r="B50" s="143">
        <f>VPL_Schoen_OP</f>
        <v>0</v>
      </c>
      <c r="C50" s="342"/>
      <c r="D50" s="102"/>
      <c r="E50" s="79"/>
      <c r="F50" s="196"/>
      <c r="G50" s="155"/>
      <c r="H50" s="196"/>
      <c r="I50" s="79"/>
      <c r="J50" s="152"/>
      <c r="K50" s="155"/>
      <c r="L50" s="196"/>
      <c r="M50" s="79"/>
      <c r="N50" s="79"/>
      <c r="O50" s="80"/>
    </row>
    <row r="51" spans="1:15" s="174" customFormat="1">
      <c r="A51" s="406" t="s">
        <v>572</v>
      </c>
      <c r="B51" s="404"/>
      <c r="C51" s="342"/>
      <c r="D51" s="79"/>
      <c r="E51" s="343"/>
      <c r="F51" s="196"/>
      <c r="G51" s="155"/>
      <c r="H51" s="196"/>
      <c r="I51" s="79"/>
      <c r="J51" s="152"/>
      <c r="K51" s="155"/>
      <c r="L51" s="196"/>
      <c r="M51" s="79"/>
      <c r="N51" s="79"/>
      <c r="O51" s="80"/>
    </row>
    <row r="52" spans="1:15" s="174" customFormat="1">
      <c r="A52" s="403" t="s">
        <v>559</v>
      </c>
      <c r="B52" s="215">
        <f>HaalWaardeCodeTabelAlsFloat("Omzetting_PREP_LOP67_DTL",60)/100</f>
        <v>0.42</v>
      </c>
      <c r="C52" s="342"/>
      <c r="D52" s="139"/>
      <c r="E52" s="344"/>
      <c r="F52" s="207"/>
      <c r="G52" s="155"/>
      <c r="H52" s="207"/>
      <c r="I52" s="79"/>
      <c r="J52" s="152"/>
      <c r="K52" s="155"/>
      <c r="L52" s="207"/>
      <c r="M52" s="79"/>
      <c r="N52" s="79"/>
      <c r="O52" s="80"/>
    </row>
    <row r="53" spans="1:15" s="378" customFormat="1">
      <c r="A53" s="402" t="s">
        <v>566</v>
      </c>
      <c r="B53" s="413">
        <f>HaalWaardeCodeTabelAlsFloat("Uitstelfactor_OP65_OP67_DTL",65)/100</f>
        <v>1.1059999999999999</v>
      </c>
      <c r="C53" s="342"/>
      <c r="D53" s="139"/>
      <c r="E53" s="344"/>
      <c r="F53" s="207"/>
      <c r="G53" s="155"/>
      <c r="H53" s="207"/>
      <c r="I53" s="79"/>
      <c r="J53" s="152"/>
      <c r="K53" s="155"/>
      <c r="L53" s="207"/>
      <c r="M53" s="79"/>
      <c r="N53" s="79"/>
      <c r="O53" s="80"/>
    </row>
    <row r="54" spans="1:15" s="378" customFormat="1">
      <c r="A54" s="402" t="s">
        <v>567</v>
      </c>
      <c r="B54" s="413">
        <f>HaalWaardeCodeTabelAlsFloat("Inkoop_Optiek_100_70_DTL",20)/100</f>
        <v>4.5620000000000001E-2</v>
      </c>
      <c r="C54" s="342"/>
      <c r="D54" s="139"/>
      <c r="E54" s="344"/>
      <c r="F54" s="207"/>
      <c r="G54" s="155"/>
      <c r="H54" s="207"/>
      <c r="I54" s="79"/>
      <c r="J54" s="152"/>
      <c r="K54" s="155"/>
      <c r="L54" s="207"/>
      <c r="M54" s="79"/>
      <c r="N54" s="79"/>
      <c r="O54" s="80"/>
    </row>
    <row r="55" spans="1:15" s="174" customFormat="1">
      <c r="A55" s="204"/>
      <c r="B55" s="413">
        <f>HaalWaardeCodeTabelAlsFloat("Inkoop_Optiek_100_70_DTL",20)</f>
        <v>4.5620000000000003</v>
      </c>
      <c r="C55" s="342"/>
      <c r="D55" s="79"/>
      <c r="E55" s="344"/>
      <c r="F55" s="207"/>
      <c r="G55" s="155"/>
      <c r="H55" s="207"/>
      <c r="I55" s="79"/>
      <c r="J55" s="152"/>
      <c r="K55" s="155"/>
      <c r="L55" s="207"/>
      <c r="M55" s="79"/>
      <c r="N55" s="79"/>
      <c r="O55" s="80"/>
    </row>
    <row r="56" spans="1:15">
      <c r="A56" s="306" t="s">
        <v>151</v>
      </c>
      <c r="B56" s="412">
        <f>Opgebouwd67+Opgebouwd_exc_67-Fictieve_opbouw_67_4wk-Fictieve_opbouw_67_mnd-Fictieve_opbouwexc_67_4wk+D42-Fictieve_opbouwexc_67_mnd</f>
        <v>1132.1099999999999</v>
      </c>
      <c r="C56" s="308" t="s">
        <v>151</v>
      </c>
      <c r="D56" s="309">
        <f>LOP_middelloon_oud</f>
        <v>0</v>
      </c>
      <c r="E56" s="307"/>
      <c r="F56" s="310"/>
      <c r="G56" s="308" t="s">
        <v>151</v>
      </c>
      <c r="H56" s="309"/>
      <c r="I56" s="307"/>
      <c r="J56" s="310"/>
      <c r="K56" s="308"/>
      <c r="L56" s="307"/>
      <c r="M56" s="307"/>
      <c r="N56" s="307"/>
      <c r="O56" s="311"/>
    </row>
    <row r="57" spans="1:15" ht="16.5" thickBot="1">
      <c r="A57" s="312" t="s">
        <v>152</v>
      </c>
      <c r="B57" s="313" t="e">
        <f>LOP67_ACT+LOP67_ACT_exc+B41+D42+LOP67_VTZ+LOP67_VZT_exc+Optiek+VPL_Schoen_67+Maxeda_67</f>
        <v>#VALUE!</v>
      </c>
      <c r="C57" s="314" t="s">
        <v>152</v>
      </c>
      <c r="D57" s="313">
        <f>LOP_middelloon_oud</f>
        <v>0</v>
      </c>
      <c r="E57" s="315"/>
      <c r="F57" s="316"/>
      <c r="G57" s="314" t="s">
        <v>152</v>
      </c>
      <c r="H57" s="313"/>
      <c r="I57" s="315"/>
      <c r="J57" s="316"/>
      <c r="K57" s="314"/>
      <c r="L57" s="313"/>
      <c r="M57" s="315"/>
      <c r="N57" s="315"/>
      <c r="O57" s="317"/>
    </row>
    <row r="58" spans="1:15" s="174" customFormat="1">
      <c r="A58" s="265" t="s">
        <v>191</v>
      </c>
      <c r="B58" s="261"/>
      <c r="C58" s="303"/>
      <c r="D58" s="304"/>
      <c r="E58" s="304"/>
      <c r="F58" s="269"/>
      <c r="G58" s="266"/>
      <c r="H58" s="262"/>
      <c r="I58" s="260"/>
      <c r="J58" s="261"/>
      <c r="K58" s="266" t="s">
        <v>191</v>
      </c>
      <c r="L58" s="262"/>
      <c r="M58" s="260"/>
      <c r="N58" s="260"/>
      <c r="O58" s="263"/>
    </row>
    <row r="59" spans="1:15" s="174" customFormat="1">
      <c r="A59" s="359" t="s">
        <v>500</v>
      </c>
      <c r="B59" s="365" t="e">
        <f>DATE(YEAR(AOW_min_2),MONTH(AOW_min_2)-1,DAY(AOW_min_2))</f>
        <v>#VALUE!</v>
      </c>
      <c r="C59" s="194"/>
      <c r="D59" s="208"/>
      <c r="E59" s="300"/>
      <c r="F59" s="196"/>
      <c r="G59" s="276"/>
      <c r="H59" s="208"/>
      <c r="I59" s="267"/>
      <c r="J59" s="214"/>
      <c r="K59" s="276"/>
      <c r="L59" s="208"/>
      <c r="M59" s="79"/>
      <c r="N59" s="79"/>
      <c r="O59" s="80"/>
    </row>
    <row r="60" spans="1:15" s="174" customFormat="1">
      <c r="A60" s="352" t="s">
        <v>233</v>
      </c>
      <c r="B60" s="143" t="e">
        <f>IF(B59&lt;Rekendatum,0,MAX(0,DATEDIF(Rekendatum,B59,"m")/12))</f>
        <v>#VALUE!</v>
      </c>
      <c r="C60" s="194"/>
      <c r="D60" s="208"/>
      <c r="E60" s="300"/>
      <c r="F60" s="196"/>
      <c r="G60" s="276"/>
      <c r="H60" s="208"/>
      <c r="I60" s="79"/>
      <c r="J60" s="214"/>
      <c r="K60" s="276"/>
      <c r="L60" s="208"/>
      <c r="M60" s="79"/>
      <c r="N60" s="79"/>
      <c r="O60" s="80"/>
    </row>
    <row r="61" spans="1:15" s="174" customFormat="1">
      <c r="A61" s="353" t="s">
        <v>235</v>
      </c>
      <c r="B61" s="143" t="e">
        <f>PG_ACT*Deeltijdfactor*Opbouwpercentage*Duur_AOW_min_2</f>
        <v>#VALUE!</v>
      </c>
      <c r="C61" s="150"/>
      <c r="D61" s="102"/>
      <c r="E61" s="300"/>
      <c r="F61" s="205"/>
      <c r="G61" s="150"/>
      <c r="H61" s="208"/>
      <c r="I61" s="79"/>
      <c r="J61" s="214"/>
      <c r="K61" s="150"/>
      <c r="L61" s="208"/>
      <c r="M61" s="79"/>
      <c r="N61" s="79"/>
      <c r="O61" s="80"/>
    </row>
    <row r="62" spans="1:15" s="174" customFormat="1">
      <c r="A62" s="399" t="s">
        <v>551</v>
      </c>
      <c r="B62" s="348" t="e">
        <f>PG_ACT_exc*Deeltijdfactor*Opbouwpercentage*Duur_AOW_min_2</f>
        <v>#VALUE!</v>
      </c>
      <c r="C62" s="155"/>
      <c r="D62" s="102"/>
      <c r="E62" s="300"/>
      <c r="F62" s="206"/>
      <c r="G62" s="276"/>
      <c r="H62" s="208"/>
      <c r="I62" s="267"/>
      <c r="J62" s="214"/>
      <c r="K62" s="276"/>
      <c r="L62" s="208"/>
      <c r="M62" s="79"/>
      <c r="N62" s="79"/>
      <c r="O62" s="80"/>
    </row>
    <row r="63" spans="1:15" s="378" customFormat="1">
      <c r="A63" s="402" t="s">
        <v>558</v>
      </c>
      <c r="B63" s="405">
        <f>IF(Datum_ingang_Prep&lt;Rekendatum,0,Prepensioen)*Omzetting_Prep_LOP</f>
        <v>0</v>
      </c>
      <c r="C63" s="155"/>
      <c r="D63" s="102"/>
      <c r="E63" s="300"/>
      <c r="F63" s="206"/>
      <c r="G63" s="276"/>
      <c r="H63" s="208"/>
      <c r="I63" s="267"/>
      <c r="J63" s="214"/>
      <c r="K63" s="267"/>
      <c r="L63" s="208"/>
      <c r="M63" s="79"/>
      <c r="N63" s="79"/>
      <c r="O63" s="80"/>
    </row>
    <row r="64" spans="1:15" s="174" customFormat="1">
      <c r="A64" s="359" t="s">
        <v>239</v>
      </c>
      <c r="B64" s="360" t="e">
        <f>((HaalWaardeCodeTabelAlsInt("Flex_LOP_67_DTL",(AOW_min_2_jaar*12))*(12-AOW_min_2_maand))+(HaalWaardeCodeTabelAlsInt("Flex_LOP_67_DTL",((AOW_min_2_jaar+1)*12))*(AOW_min_2_maand)))/12</f>
        <v>#VALUE!</v>
      </c>
      <c r="C64" s="359" t="s">
        <v>239</v>
      </c>
      <c r="D64" s="376" t="e">
        <f>((HaalWaardeCodeTabelAlsInt("Flex_LOP_65_DTL",(AOW_min_2_jaar*12))*(12-AOW_min_2_maand))+(HaalWaardeCodeTabelAlsInt("Flex_LOP_65_DTL",((AOW_min_2_jaar+1)*12))*(AOW_min_2_maand)))/12</f>
        <v>#VALUE!</v>
      </c>
      <c r="E64" s="79"/>
      <c r="F64" s="196"/>
      <c r="G64" s="276"/>
      <c r="H64" s="208"/>
      <c r="I64" s="79"/>
      <c r="J64" s="214"/>
      <c r="K64" s="267"/>
      <c r="L64" s="208"/>
      <c r="M64" s="79"/>
      <c r="N64" s="79"/>
      <c r="O64" s="80"/>
    </row>
    <row r="65" spans="1:15" s="174" customFormat="1">
      <c r="A65" s="99"/>
      <c r="B65" s="214"/>
      <c r="C65" s="155"/>
      <c r="D65" s="102"/>
      <c r="E65" s="79"/>
      <c r="F65" s="196"/>
      <c r="G65" s="150"/>
      <c r="H65" s="208"/>
      <c r="I65" s="79"/>
      <c r="J65" s="214"/>
      <c r="K65" s="150"/>
      <c r="L65" s="208"/>
      <c r="M65" s="79"/>
      <c r="N65" s="79"/>
      <c r="O65" s="80"/>
    </row>
    <row r="66" spans="1:15" s="174" customFormat="1" ht="16.5" thickBot="1">
      <c r="A66" s="361" t="s">
        <v>494</v>
      </c>
      <c r="B66" s="198" t="e">
        <f>(Opgebouwd67+Opgebouwd_exc_67-Fictieve_opbouw_67_4wk-Fictieve_opbouw_67_mnd-Fictieve_opbouwexc_67_4wk-Fictieve_opbouwexc_67_mnd+PREP_LOP_AOW_min_2)*Flex_lop_AOWmin2/100</f>
        <v>#VALUE!</v>
      </c>
      <c r="C66" s="361" t="s">
        <v>494</v>
      </c>
      <c r="D66" s="380" t="e">
        <f>LOP65_Opgebouwd*(D64/100)</f>
        <v>#VALUE!</v>
      </c>
      <c r="E66" s="374"/>
      <c r="F66" s="381"/>
      <c r="G66" s="150"/>
      <c r="H66" s="208"/>
      <c r="I66" s="79"/>
      <c r="J66" s="214"/>
      <c r="K66" s="150"/>
      <c r="L66" s="208"/>
      <c r="M66" s="79"/>
      <c r="N66" s="79"/>
      <c r="O66" s="80"/>
    </row>
    <row r="67" spans="1:15" s="174" customFormat="1" ht="16.5" thickBot="1">
      <c r="A67" s="361" t="s">
        <v>495</v>
      </c>
      <c r="B67" s="362" t="e">
        <f>(Opgebouwd67+Opgebouwd_exc_67-Fictieve_opbouw_67_4wk-Fictieve_opbouw_67_mnd-Fictieve_opbouwexc_67_4wk-Fictieve_opbouwexc_67_mnd+Toekomstig_LOP_ACT_AOW_min2+Toekomstig_LOP_ACT_exc_AOW_min2+PREP_LOP_AOW_min_2+Optiek+VPL_Schoen_67+Maxeda_67)*(Flex_lop_AOWmin2/100)</f>
        <v>#VALUE!</v>
      </c>
      <c r="C67" s="375" t="s">
        <v>495</v>
      </c>
      <c r="D67" s="373" t="e">
        <f>LOP65_Opgebouwd*(D64/100)</f>
        <v>#VALUE!</v>
      </c>
      <c r="E67" s="372"/>
      <c r="F67" s="362"/>
      <c r="G67" s="275" t="s">
        <v>195</v>
      </c>
      <c r="H67" s="195"/>
      <c r="I67" s="202"/>
      <c r="J67" s="198"/>
      <c r="K67" s="149"/>
      <c r="L67" s="195"/>
      <c r="M67" s="202"/>
      <c r="N67" s="202"/>
      <c r="O67" s="203"/>
    </row>
    <row r="68" spans="1:15" s="174" customFormat="1">
      <c r="A68" s="274" t="s">
        <v>190</v>
      </c>
      <c r="B68" s="268"/>
      <c r="C68" s="269"/>
      <c r="D68" s="271"/>
      <c r="E68" s="269"/>
      <c r="F68" s="271"/>
      <c r="G68" s="270"/>
      <c r="H68" s="271"/>
      <c r="I68" s="272"/>
      <c r="J68" s="268"/>
      <c r="K68" s="270"/>
      <c r="L68" s="271"/>
      <c r="M68" s="272"/>
      <c r="N68" s="272"/>
      <c r="O68" s="273"/>
    </row>
    <row r="69" spans="1:15" s="174" customFormat="1">
      <c r="A69" s="359" t="s">
        <v>500</v>
      </c>
      <c r="B69" s="365" t="e">
        <f>MIN(Norm_pensioenleeftijd,DATE(YEAR(AOW_datum),MONTH(AOW_datum)-1,DAY(AOW_datum)))</f>
        <v>#VALUE!</v>
      </c>
      <c r="C69" s="101"/>
      <c r="D69" s="208"/>
      <c r="E69" s="267"/>
      <c r="F69" s="208"/>
      <c r="G69" s="276"/>
      <c r="H69" s="208"/>
      <c r="I69" s="267"/>
      <c r="J69" s="214"/>
      <c r="K69" s="276"/>
      <c r="L69" s="208"/>
      <c r="M69" s="79"/>
      <c r="N69" s="79"/>
      <c r="O69" s="80"/>
    </row>
    <row r="70" spans="1:15" s="174" customFormat="1">
      <c r="A70" s="99" t="s">
        <v>233</v>
      </c>
      <c r="B70" s="214" t="e">
        <f>IF(B69&lt;Rekendatum,0,MAX(0,DATEDIF(Rekendatum,B69,"m")/12))</f>
        <v>#VALUE!</v>
      </c>
      <c r="C70" s="101">
        <f>DAYS360(Rekendatum,Norm_pensioenleeftijd,TRUE)/360</f>
        <v>19.25</v>
      </c>
      <c r="D70" s="208"/>
      <c r="E70" s="267"/>
      <c r="F70" s="208"/>
      <c r="G70" s="276"/>
      <c r="H70" s="208"/>
      <c r="I70" s="79"/>
      <c r="J70" s="214"/>
      <c r="K70" s="276"/>
      <c r="L70" s="208"/>
      <c r="M70" s="79"/>
      <c r="N70" s="79"/>
      <c r="O70" s="80"/>
    </row>
    <row r="71" spans="1:15" s="174" customFormat="1">
      <c r="A71" s="352" t="s">
        <v>235</v>
      </c>
      <c r="B71" s="219" t="e">
        <f>PG_ACT*Deeltijdfactor*Opbouwpercentage*Duur_AOW</f>
        <v>#VALUE!</v>
      </c>
      <c r="C71" s="101"/>
      <c r="D71" s="208"/>
      <c r="E71" s="101"/>
      <c r="F71" s="208"/>
      <c r="G71" s="150"/>
      <c r="H71" s="208"/>
      <c r="I71" s="79"/>
      <c r="J71" s="214"/>
      <c r="K71" s="150"/>
      <c r="L71" s="208"/>
      <c r="M71" s="79"/>
      <c r="N71" s="79"/>
      <c r="O71" s="80"/>
    </row>
    <row r="72" spans="1:15" s="174" customFormat="1">
      <c r="A72" s="399" t="s">
        <v>551</v>
      </c>
      <c r="B72" s="348" t="e">
        <f>PG_ACT_exc*Deeltijdfactor*Opbouwpercentage*Duur_AOW</f>
        <v>#VALUE!</v>
      </c>
      <c r="C72" s="101"/>
      <c r="D72" s="208"/>
      <c r="E72" s="267"/>
      <c r="F72" s="208"/>
      <c r="G72" s="276"/>
      <c r="H72" s="208"/>
      <c r="I72" s="267"/>
      <c r="J72" s="214"/>
      <c r="K72" s="276"/>
      <c r="L72" s="208"/>
      <c r="M72" s="79"/>
      <c r="N72" s="79"/>
      <c r="O72" s="80"/>
    </row>
    <row r="73" spans="1:15" s="378" customFormat="1">
      <c r="A73" s="402" t="s">
        <v>558</v>
      </c>
      <c r="B73" s="348">
        <f>IF(Datum_ingang_Prep&lt;Rekendatum,0,Prepensioen)*B75/100</f>
        <v>0</v>
      </c>
      <c r="C73" s="101"/>
      <c r="D73" s="208"/>
      <c r="E73" s="267"/>
      <c r="F73" s="208"/>
      <c r="G73" s="276"/>
      <c r="H73" s="208"/>
      <c r="I73" s="267"/>
      <c r="J73" s="214"/>
      <c r="K73" s="267"/>
      <c r="L73" s="208"/>
      <c r="M73" s="79"/>
      <c r="N73" s="79"/>
      <c r="O73" s="80"/>
    </row>
    <row r="74" spans="1:15" s="174" customFormat="1">
      <c r="A74" s="347" t="s">
        <v>239</v>
      </c>
      <c r="B74" s="348" t="e">
        <f>((HaalWaardeCodeTabelAlsInt("Flex_LOP_67_DTL",(AOW_jaar*12))*(12-AOW_maand))+(HaalWaardeCodeTabelAlsInt("Flex_LOP_67_DTL",((AOW_jaar+1)*12))*(AOW_maand)))/12</f>
        <v>#VALUE!</v>
      </c>
      <c r="C74" s="359" t="s">
        <v>239</v>
      </c>
      <c r="D74" s="376" t="e">
        <f>((HaalWaardeCodeTabelAlsInt("Flex_LOP_65_DTL",(AOW_jaar*12))*(12-AOW_maand))+(HaalWaardeCodeTabelAlsInt("Flex_LOP_65_DTL",((AOW_jaar+1)*12))*(AOW_maand)))/12</f>
        <v>#VALUE!</v>
      </c>
      <c r="E74" s="267"/>
      <c r="F74" s="208"/>
      <c r="G74" s="276"/>
      <c r="H74" s="208"/>
      <c r="I74" s="79"/>
      <c r="J74" s="214"/>
      <c r="K74" s="267"/>
      <c r="L74" s="208"/>
      <c r="M74" s="79"/>
      <c r="N74" s="79"/>
      <c r="O74" s="80"/>
    </row>
    <row r="75" spans="1:15" s="174" customFormat="1">
      <c r="A75" s="403"/>
      <c r="B75" s="214"/>
      <c r="C75" s="101"/>
      <c r="D75" s="208"/>
      <c r="E75" s="101"/>
      <c r="F75" s="208"/>
      <c r="G75" s="150"/>
      <c r="H75" s="208"/>
      <c r="I75" s="79"/>
      <c r="J75" s="214"/>
      <c r="K75" s="150"/>
      <c r="L75" s="208"/>
      <c r="M75" s="79"/>
      <c r="N75" s="79"/>
      <c r="O75" s="80"/>
    </row>
    <row r="76" spans="1:15" s="174" customFormat="1">
      <c r="A76" s="99"/>
      <c r="B76" s="214"/>
      <c r="C76" s="101"/>
      <c r="D76" s="208"/>
      <c r="E76" s="101"/>
      <c r="F76" s="208"/>
      <c r="G76" s="150"/>
      <c r="H76" s="208"/>
      <c r="I76" s="79"/>
      <c r="J76" s="214"/>
      <c r="K76" s="150"/>
      <c r="L76" s="208"/>
      <c r="M76" s="79"/>
      <c r="N76" s="79"/>
      <c r="O76" s="80"/>
    </row>
    <row r="77" spans="1:15" s="174" customFormat="1" ht="16.5" thickBot="1">
      <c r="A77" s="361" t="s">
        <v>496</v>
      </c>
      <c r="B77" s="198" t="e">
        <f>(Opgebouwd67+Opgebouwd_exc_67-Fictieve_opbouw_67_4wk-Fictieve_opbouw_67_mnd-Fictieve_opbouwexc_67_4wk-Fictieve_opbouwexc_67_mnd+PREP_LOP_AOW)*FLEX_lop_AOW/100</f>
        <v>#VALUE!</v>
      </c>
      <c r="C77" s="361" t="s">
        <v>494</v>
      </c>
      <c r="D77" s="380" t="e">
        <f>LOP65_Opgebouwd*(D74/100)</f>
        <v>#VALUE!</v>
      </c>
      <c r="E77" s="374"/>
      <c r="F77" s="381"/>
      <c r="G77" s="150"/>
      <c r="H77" s="208"/>
      <c r="I77" s="79"/>
      <c r="J77" s="214"/>
      <c r="K77" s="150"/>
      <c r="L77" s="208"/>
      <c r="M77" s="79"/>
      <c r="N77" s="79"/>
      <c r="O77" s="80"/>
    </row>
    <row r="78" spans="1:15" s="174" customFormat="1" ht="16.5" thickBot="1">
      <c r="A78" s="361" t="s">
        <v>497</v>
      </c>
      <c r="B78" s="362" t="e">
        <f>(Opgebouwd67+Opgebouwd_exc_67-Fictieve_opbouw_67_4wk-Fictieve_opbouw_67_mnd-Fictieve_opbouwexc_67_4wk-Fictieve_opbouwexc_67_mnd+Toekomstig_LOP_ACT_AOW+Toekomstig_LOP_ACT_exc_AOW+PREP_LOP_AOW+Optiek+VPL_Schoen_67+Maxeda_67)*(FLEX_lop_AOW/100)</f>
        <v>#VALUE!</v>
      </c>
      <c r="C78" s="375" t="s">
        <v>495</v>
      </c>
      <c r="D78" s="373" t="e">
        <f>LOP65_Opgebouwd*(D74/100)</f>
        <v>#VALUE!</v>
      </c>
      <c r="E78" s="372"/>
      <c r="F78" s="362"/>
      <c r="G78" s="285" t="s">
        <v>197</v>
      </c>
      <c r="H78" s="195"/>
      <c r="I78" s="202"/>
      <c r="J78" s="198"/>
      <c r="K78" s="149"/>
      <c r="L78" s="195"/>
      <c r="M78" s="202"/>
      <c r="N78" s="202"/>
      <c r="O78" s="203"/>
    </row>
    <row r="79" spans="1:15" s="174" customFormat="1">
      <c r="A79" s="274" t="s">
        <v>194</v>
      </c>
      <c r="B79" s="268"/>
      <c r="C79" s="269"/>
      <c r="D79" s="271"/>
      <c r="E79" s="269"/>
      <c r="F79" s="271"/>
      <c r="G79" s="270"/>
      <c r="H79" s="271"/>
      <c r="I79" s="272"/>
      <c r="J79" s="268"/>
      <c r="K79" s="270"/>
      <c r="L79" s="271"/>
      <c r="M79" s="272"/>
      <c r="N79" s="272"/>
      <c r="O79" s="273"/>
    </row>
    <row r="80" spans="1:15" s="174" customFormat="1">
      <c r="A80" s="359" t="s">
        <v>500</v>
      </c>
      <c r="B80" s="365" t="e">
        <f>MIN(Norm_pensioenleeftijd,DATE(YEAR(AOW_plus_1),MONTH(AOW_plus_1)-1,DAY(AOW_plus_1)))</f>
        <v>#VALUE!</v>
      </c>
      <c r="C80" s="101"/>
      <c r="D80" s="208"/>
      <c r="E80" s="267"/>
      <c r="F80" s="208"/>
      <c r="G80" s="276"/>
      <c r="H80" s="208"/>
      <c r="I80" s="267"/>
      <c r="J80" s="214"/>
      <c r="K80" s="276"/>
      <c r="L80" s="208"/>
      <c r="M80" s="79"/>
      <c r="N80" s="79"/>
      <c r="O80" s="80"/>
    </row>
    <row r="81" spans="1:15" s="174" customFormat="1">
      <c r="A81" s="99" t="s">
        <v>233</v>
      </c>
      <c r="B81" s="214">
        <f>IFERROR(MAX(0,DATEDIF(Rekendatum,B80,"m")/12),0)</f>
        <v>0</v>
      </c>
      <c r="C81" s="101"/>
      <c r="D81" s="208"/>
      <c r="E81" s="267"/>
      <c r="F81" s="208"/>
      <c r="G81" s="276"/>
      <c r="H81" s="208"/>
      <c r="I81" s="79"/>
      <c r="J81" s="214"/>
      <c r="K81" s="276"/>
      <c r="L81" s="208"/>
      <c r="M81" s="79"/>
      <c r="N81" s="79"/>
      <c r="O81" s="80"/>
    </row>
    <row r="82" spans="1:15" s="174" customFormat="1">
      <c r="A82" s="99" t="s">
        <v>235</v>
      </c>
      <c r="B82" s="214">
        <f>PG_ACT*Deeltijdfactor*Opbouwpercentage*Duur_AOW_plus_1</f>
        <v>0</v>
      </c>
      <c r="C82" s="101"/>
      <c r="D82" s="208"/>
      <c r="E82" s="101"/>
      <c r="F82" s="208"/>
      <c r="G82" s="150"/>
      <c r="H82" s="208"/>
      <c r="I82" s="79"/>
      <c r="J82" s="214"/>
      <c r="K82" s="150"/>
      <c r="L82" s="208"/>
      <c r="M82" s="79"/>
      <c r="N82" s="79"/>
      <c r="O82" s="80"/>
    </row>
    <row r="83" spans="1:15" s="174" customFormat="1">
      <c r="A83" s="399" t="s">
        <v>551</v>
      </c>
      <c r="B83" s="348">
        <f>PG_ACT_exc*Deeltijdfactor*Opbouwpercentage*Duur_AOW_plus_1</f>
        <v>0</v>
      </c>
      <c r="C83" s="101"/>
      <c r="D83" s="208"/>
      <c r="E83" s="267"/>
      <c r="F83" s="208"/>
      <c r="G83" s="276"/>
      <c r="H83" s="208"/>
      <c r="I83" s="267"/>
      <c r="J83" s="214"/>
      <c r="K83" s="276"/>
      <c r="L83" s="208"/>
      <c r="M83" s="79"/>
      <c r="N83" s="79"/>
      <c r="O83" s="80"/>
    </row>
    <row r="84" spans="1:15" s="378" customFormat="1">
      <c r="A84" s="402" t="s">
        <v>558</v>
      </c>
      <c r="B84" s="348">
        <f>IF(Datum_ingang_Prep&lt;Rekendatum,0,Prepensioen)*B86/100</f>
        <v>0</v>
      </c>
      <c r="C84" s="101"/>
      <c r="D84" s="208"/>
      <c r="E84" s="267"/>
      <c r="F84" s="208"/>
      <c r="G84" s="276"/>
      <c r="H84" s="208"/>
      <c r="I84" s="267"/>
      <c r="J84" s="214"/>
      <c r="K84" s="267"/>
      <c r="L84" s="208"/>
      <c r="M84" s="79"/>
      <c r="N84" s="79"/>
      <c r="O84" s="80"/>
    </row>
    <row r="85" spans="1:15" s="174" customFormat="1">
      <c r="A85" s="99" t="s">
        <v>239</v>
      </c>
      <c r="B85" s="208" t="e">
        <f>((HaalWaardeCodeTabelAlsInt("Flex_LOP_67_DTL",(AOWplus1_jaar*12))*(12-AOWplus1_maand))+(HaalWaardeCodeTabelAlsInt("Flex_LOP_67_DTL",((AOWplus1_jaar+1)*12))*(AOWplus1_maand)))/12</f>
        <v>#VALUE!</v>
      </c>
      <c r="C85" s="364" t="s">
        <v>239</v>
      </c>
      <c r="D85" s="208" t="e">
        <f>((HaalWaardeCodeTabelAlsInt("Flex_LOP_65_DTL",(AOWplus1_jaar*12))*(12-AOWplus1_maand))+(HaalWaardeCodeTabelAlsInt("Flex_LOP_65_DTL",((AOWplus1_jaar+1)*12))*(AOWplus1_maand)))/12</f>
        <v>#VALUE!</v>
      </c>
      <c r="E85" s="267"/>
      <c r="F85" s="208"/>
      <c r="G85" s="276"/>
      <c r="H85" s="208"/>
      <c r="I85" s="79"/>
      <c r="J85" s="214"/>
      <c r="K85" s="267"/>
      <c r="L85" s="208"/>
      <c r="M85" s="79"/>
      <c r="N85" s="79"/>
      <c r="O85" s="80"/>
    </row>
    <row r="86" spans="1:15" s="174" customFormat="1">
      <c r="A86" s="403"/>
      <c r="B86" s="214"/>
      <c r="C86" s="101"/>
      <c r="D86" s="208"/>
      <c r="E86" s="101"/>
      <c r="F86" s="208"/>
      <c r="G86" s="150"/>
      <c r="H86" s="208"/>
      <c r="I86" s="79"/>
      <c r="J86" s="214"/>
      <c r="K86" s="150"/>
      <c r="L86" s="208"/>
      <c r="M86" s="79"/>
      <c r="N86" s="79"/>
      <c r="O86" s="80"/>
    </row>
    <row r="87" spans="1:15" s="174" customFormat="1">
      <c r="A87" s="99"/>
      <c r="B87" s="214"/>
      <c r="C87" s="101"/>
      <c r="D87" s="208"/>
      <c r="E87" s="101"/>
      <c r="F87" s="208"/>
      <c r="G87" s="150"/>
      <c r="H87" s="208"/>
      <c r="I87" s="79"/>
      <c r="J87" s="214"/>
      <c r="K87" s="150"/>
      <c r="L87" s="208"/>
      <c r="M87" s="79"/>
      <c r="N87" s="79"/>
      <c r="O87" s="80"/>
    </row>
    <row r="88" spans="1:15" s="174" customFormat="1" ht="16.5" thickBot="1">
      <c r="A88" s="361" t="s">
        <v>478</v>
      </c>
      <c r="B88" s="198" t="e">
        <f>(Opgebouwd67+Opgebouwd_exc_67-Fictieve_opbouw_67_4wk-Fictieve_opbouw_67_mnd-Fictieve_opbouwexc_67_4wk-Fictieve_opbouwexc_67_mnd+PREP_LOP_AOW_plus_1)*FLEX_lop_aow_plus_1/100</f>
        <v>#VALUE!</v>
      </c>
      <c r="C88" s="361" t="s">
        <v>478</v>
      </c>
      <c r="D88" s="380" t="e">
        <f>LOP65_Opgebouwd*(D85/100)</f>
        <v>#VALUE!</v>
      </c>
      <c r="E88" s="374"/>
      <c r="F88" s="381"/>
      <c r="G88" s="150"/>
      <c r="H88" s="208"/>
      <c r="I88" s="79"/>
      <c r="J88" s="214"/>
      <c r="K88" s="150"/>
      <c r="L88" s="208"/>
      <c r="M88" s="79"/>
      <c r="N88" s="79"/>
      <c r="O88" s="80"/>
    </row>
    <row r="89" spans="1:15" s="174" customFormat="1" ht="16.5" thickBot="1">
      <c r="A89" s="361" t="s">
        <v>477</v>
      </c>
      <c r="B89" s="362" t="e">
        <f>(Opgebouwd67+Opgebouwd_exc_67-Fictieve_opbouw_67_4wk-Fictieve_opbouw_67_mnd-Fictieve_opbouwexc_67_4wk-Fictieve_opbouwexc_67_mnd+Toekomstig_LOP_ACT_AOW_plus_1+B83+Optiek+VPL_Schoen_67+Maxeda_67)*(FLEX_lop_aow_plus_1/100)</f>
        <v>#VALUE!</v>
      </c>
      <c r="C89" s="375" t="s">
        <v>477</v>
      </c>
      <c r="D89" s="373" t="e">
        <f>LOP65_Opgebouwd*(D85/100)</f>
        <v>#VALUE!</v>
      </c>
      <c r="E89" s="372"/>
      <c r="F89" s="362"/>
      <c r="G89" s="285" t="s">
        <v>198</v>
      </c>
      <c r="H89" s="195"/>
      <c r="I89" s="202"/>
      <c r="J89" s="198"/>
      <c r="K89" s="149"/>
      <c r="L89" s="195"/>
      <c r="M89" s="202"/>
      <c r="N89" s="202"/>
      <c r="O89" s="203"/>
    </row>
    <row r="90" spans="1:15" s="174" customFormat="1">
      <c r="A90" s="211" t="s">
        <v>176</v>
      </c>
      <c r="B90" s="212" t="s">
        <v>58</v>
      </c>
      <c r="C90" s="102" t="s">
        <v>176</v>
      </c>
      <c r="D90" s="214" t="s">
        <v>59</v>
      </c>
      <c r="E90" s="216"/>
      <c r="F90" s="208"/>
      <c r="G90" s="216" t="s">
        <v>176</v>
      </c>
      <c r="H90" s="208" t="s">
        <v>59</v>
      </c>
      <c r="I90" s="79"/>
      <c r="J90" s="214"/>
      <c r="K90" s="216"/>
      <c r="L90" s="208"/>
      <c r="M90" s="79"/>
      <c r="N90" s="79"/>
      <c r="O90" s="80"/>
    </row>
    <row r="91" spans="1:15" s="174" customFormat="1">
      <c r="A91" s="210" t="s">
        <v>85</v>
      </c>
      <c r="B91" s="213" t="e">
        <f>FLOOR(B43/12,1)</f>
        <v>#VALUE!</v>
      </c>
      <c r="C91" s="208" t="s">
        <v>85</v>
      </c>
      <c r="D91" s="215">
        <v>65</v>
      </c>
      <c r="E91" s="217"/>
      <c r="F91" s="209"/>
      <c r="G91" s="217" t="s">
        <v>85</v>
      </c>
      <c r="H91" s="209">
        <v>67</v>
      </c>
      <c r="I91" s="79"/>
      <c r="J91" s="214"/>
      <c r="K91" s="217"/>
      <c r="L91" s="209"/>
      <c r="M91" s="79"/>
      <c r="N91" s="79"/>
      <c r="O91" s="80"/>
    </row>
    <row r="92" spans="1:15" s="174" customFormat="1">
      <c r="A92" s="210" t="s">
        <v>86</v>
      </c>
      <c r="B92" s="213" t="e">
        <f>((B43/12)-FLOOR(B43/12,1))*12</f>
        <v>#VALUE!</v>
      </c>
      <c r="C92" s="208" t="s">
        <v>86</v>
      </c>
      <c r="D92" s="215">
        <f>((D43/12)-FLOOR(D43/12,1))*12</f>
        <v>0</v>
      </c>
      <c r="E92" s="217"/>
      <c r="F92" s="209"/>
      <c r="G92" s="217" t="s">
        <v>86</v>
      </c>
      <c r="H92" s="209">
        <v>0</v>
      </c>
      <c r="I92" s="79"/>
      <c r="J92" s="214"/>
      <c r="K92" s="217"/>
      <c r="L92" s="209"/>
      <c r="M92" s="79"/>
      <c r="N92" s="79"/>
      <c r="O92" s="80"/>
    </row>
    <row r="93" spans="1:15" s="174" customFormat="1">
      <c r="A93" s="210" t="s">
        <v>87</v>
      </c>
      <c r="B93" s="213">
        <v>65</v>
      </c>
      <c r="C93" s="208" t="s">
        <v>87</v>
      </c>
      <c r="D93" s="215">
        <v>0</v>
      </c>
      <c r="E93" s="217"/>
      <c r="F93" s="209"/>
      <c r="G93" s="217" t="s">
        <v>87</v>
      </c>
      <c r="H93" s="209">
        <v>0</v>
      </c>
      <c r="I93" s="79"/>
      <c r="J93" s="214"/>
      <c r="K93" s="217"/>
      <c r="L93" s="209"/>
      <c r="M93" s="79"/>
      <c r="N93" s="79"/>
      <c r="O93" s="80"/>
    </row>
    <row r="94" spans="1:15" s="174" customFormat="1">
      <c r="A94" s="210" t="s">
        <v>88</v>
      </c>
      <c r="B94" s="213">
        <v>0</v>
      </c>
      <c r="C94" s="208" t="s">
        <v>88</v>
      </c>
      <c r="D94" s="215">
        <v>0</v>
      </c>
      <c r="E94" s="217"/>
      <c r="F94" s="209"/>
      <c r="G94" s="217" t="s">
        <v>88</v>
      </c>
      <c r="H94" s="209">
        <v>0</v>
      </c>
      <c r="I94" s="79"/>
      <c r="J94" s="214"/>
      <c r="K94" s="217"/>
      <c r="L94" s="209"/>
      <c r="M94" s="79"/>
      <c r="N94" s="79"/>
      <c r="O94" s="80"/>
    </row>
    <row r="95" spans="1:15" s="174" customFormat="1" ht="16.5" thickBot="1">
      <c r="A95" s="210" t="s">
        <v>176</v>
      </c>
      <c r="B95" s="335">
        <v>1</v>
      </c>
      <c r="C95" s="208" t="s">
        <v>176</v>
      </c>
      <c r="D95" s="215">
        <v>0</v>
      </c>
      <c r="E95" s="217"/>
      <c r="F95" s="334"/>
      <c r="G95" s="208" t="s">
        <v>176</v>
      </c>
      <c r="H95" s="209">
        <v>1</v>
      </c>
      <c r="I95" s="79"/>
      <c r="J95" s="214">
        <f>MAX(H95,D95,B95)</f>
        <v>1</v>
      </c>
      <c r="K95" s="217"/>
      <c r="L95" s="209"/>
      <c r="M95" s="79"/>
      <c r="N95" s="79"/>
      <c r="O95" s="80"/>
    </row>
    <row r="96" spans="1:15" s="174" customFormat="1" ht="32.25" thickBot="1">
      <c r="A96" s="107" t="s">
        <v>153</v>
      </c>
      <c r="B96" s="108"/>
      <c r="C96" s="109" t="s">
        <v>154</v>
      </c>
      <c r="D96" s="108"/>
      <c r="E96" s="175">
        <f>IF(Pensioennummer=221260,1999,IFERROR(SUM(E98:E134),99))</f>
        <v>99</v>
      </c>
      <c r="F96" s="109" t="s">
        <v>155</v>
      </c>
      <c r="G96" s="110"/>
      <c r="H96" s="175">
        <f>IFERROR(SUM(H98:H134),99)</f>
        <v>99</v>
      </c>
      <c r="I96" s="109" t="s">
        <v>156</v>
      </c>
      <c r="J96" s="110"/>
      <c r="K96" s="188">
        <f>IFERROR(SUM(K98:K134),99)</f>
        <v>99</v>
      </c>
      <c r="L96" s="109" t="s">
        <v>157</v>
      </c>
      <c r="M96" s="108"/>
      <c r="N96" s="188">
        <f>IFERROR(SUM(N98:N134),99)</f>
        <v>0</v>
      </c>
      <c r="O96" s="111"/>
    </row>
    <row r="97" spans="1:15" s="174" customFormat="1" ht="16.5" thickBot="1">
      <c r="A97" s="112" t="s">
        <v>57</v>
      </c>
      <c r="B97" s="113"/>
      <c r="C97" s="114" t="s">
        <v>158</v>
      </c>
      <c r="D97" s="115" t="s">
        <v>159</v>
      </c>
      <c r="E97" s="116" t="s">
        <v>160</v>
      </c>
      <c r="F97" s="114" t="s">
        <v>158</v>
      </c>
      <c r="G97" s="115" t="s">
        <v>161</v>
      </c>
      <c r="H97" s="116" t="s">
        <v>160</v>
      </c>
      <c r="I97" s="114" t="s">
        <v>158</v>
      </c>
      <c r="J97" s="115" t="s">
        <v>161</v>
      </c>
      <c r="K97" s="116" t="s">
        <v>160</v>
      </c>
      <c r="L97" s="189" t="s">
        <v>158</v>
      </c>
      <c r="M97" s="190" t="s">
        <v>161</v>
      </c>
      <c r="N97" s="190" t="s">
        <v>160</v>
      </c>
      <c r="O97" s="191"/>
    </row>
    <row r="98" spans="1:15" s="174" customFormat="1">
      <c r="A98" s="117" t="s">
        <v>58</v>
      </c>
      <c r="B98" s="118" t="s">
        <v>85</v>
      </c>
      <c r="C98" s="119"/>
      <c r="D98" s="120" t="str">
        <f>'extractie-npr-op-rente'!G6</f>
        <v xml:space="preserve"> </v>
      </c>
      <c r="E98" s="177" t="str">
        <f>IF(AND(C98="",OR(D98=" ",D98="",D98=0)),"",IF(ABS(C98-D98)&lt;1,0,1))</f>
        <v/>
      </c>
      <c r="F98" s="121">
        <f>IF(F111&gt;0,65,0)</f>
        <v>0</v>
      </c>
      <c r="G98" s="120">
        <f>'extractie-npr-op-rente'!H6</f>
        <v>0</v>
      </c>
      <c r="H98" s="177">
        <f>IF(AND(F98="",OR(G98=" ",G98="",G98=0)),"",IF(ABS(F98-G98)&lt;1,0,1))</f>
        <v>0</v>
      </c>
      <c r="I98" s="119"/>
      <c r="J98" s="120">
        <f>'extractie-npr-op-rente'!I6</f>
        <v>0</v>
      </c>
      <c r="K98" s="177" t="str">
        <f>IF(AND(I98="",OR(J98=" ",J98="",J98=0)),"",IF(ABS(I98-J98)&lt;1,0,1))</f>
        <v/>
      </c>
      <c r="L98" s="119"/>
      <c r="M98" s="120">
        <f>'extractie-npr-op-rente'!J6</f>
        <v>0</v>
      </c>
      <c r="N98" s="176" t="str">
        <f>IF(AND(L98="",OR(M98=" ",M98="",M98=0)),"",IF(ABS(L98-M98)&lt;1,0,1))</f>
        <v/>
      </c>
      <c r="O98" s="177"/>
    </row>
    <row r="99" spans="1:15" s="174" customFormat="1">
      <c r="A99" s="117"/>
      <c r="B99" s="118" t="s">
        <v>86</v>
      </c>
      <c r="C99" s="117"/>
      <c r="D99" s="89" t="str">
        <f>'extractie-npr-op-rente'!G7</f>
        <v xml:space="preserve"> </v>
      </c>
      <c r="E99" s="177" t="str">
        <f>IF(AND(C99="",OR(D99=" ",D99="",D99=0)),"",IF(ABS(C99-D99)&lt;1,0,1))</f>
        <v/>
      </c>
      <c r="F99" s="123">
        <v>0</v>
      </c>
      <c r="G99" s="89">
        <f>'extractie-npr-op-rente'!H7</f>
        <v>0</v>
      </c>
      <c r="H99" s="177">
        <f>IF(AND(F99="",OR(G99=" ",G99="",G99=0)),"",IF(ABS(F99-G99)&lt;1,0,1))</f>
        <v>0</v>
      </c>
      <c r="I99" s="117"/>
      <c r="J99" s="89">
        <f>'extractie-npr-op-rente'!I7</f>
        <v>0</v>
      </c>
      <c r="K99" s="177" t="str">
        <f>IF(AND(I99="",OR(J99=" ",J99="",J99=0)),"",IF(ABS(I99-J99)&lt;1,0,1))</f>
        <v/>
      </c>
      <c r="L99" s="117"/>
      <c r="M99" s="89">
        <f>'extractie-npr-op-rente'!J7</f>
        <v>0</v>
      </c>
      <c r="N99" s="177" t="str">
        <f>IF(AND(L99="",OR(M99=" ",M99="",M99=0)),"",IF(ABS(L99-M99)&lt;1,0,1))</f>
        <v/>
      </c>
      <c r="O99" s="177"/>
    </row>
    <row r="100" spans="1:15" s="174" customFormat="1">
      <c r="A100" s="117"/>
      <c r="B100" s="118" t="s">
        <v>87</v>
      </c>
      <c r="C100" s="117"/>
      <c r="D100" s="89" t="str">
        <f>'extractie-npr-op-rente'!G8</f>
        <v xml:space="preserve"> </v>
      </c>
      <c r="E100" s="177" t="str">
        <f t="shared" ref="E100:E107" si="0">IF(AND(C100="",OR(D100=" ",D100="",D100=0)),"",IF(ABS(C100-D100)&lt;1,0,1))</f>
        <v/>
      </c>
      <c r="F100" s="123">
        <f>IF(F111&gt;0,67,0)</f>
        <v>0</v>
      </c>
      <c r="G100" s="89">
        <f>'extractie-npr-op-rente'!H8</f>
        <v>0</v>
      </c>
      <c r="H100" s="177">
        <f t="shared" ref="H100:H107" si="1">IF(AND(F100="",OR(G100=" ",G100="",G100=0)),"",IF(ABS(F100-G100)&lt;1,0,1))</f>
        <v>0</v>
      </c>
      <c r="I100" s="117"/>
      <c r="J100" s="89">
        <f>'extractie-npr-op-rente'!I8</f>
        <v>0</v>
      </c>
      <c r="K100" s="177" t="str">
        <f t="shared" ref="K100:K107" si="2">IF(AND(I100="",OR(J100=" ",J100="",J100=0)),"",IF(ABS(I100-J100)&lt;1,0,1))</f>
        <v/>
      </c>
      <c r="L100" s="117"/>
      <c r="M100" s="89">
        <f>'extractie-npr-op-rente'!J8</f>
        <v>0</v>
      </c>
      <c r="N100" s="177" t="str">
        <f t="shared" ref="N100:N108" si="3">IF(AND(L100="",OR(M100=" ",M100="",M100=0)),"",IF(ABS(L100-M100)&lt;1,0,1))</f>
        <v/>
      </c>
      <c r="O100" s="177"/>
    </row>
    <row r="101" spans="1:15" s="174" customFormat="1">
      <c r="A101" s="117"/>
      <c r="B101" s="118" t="s">
        <v>88</v>
      </c>
      <c r="C101" s="117"/>
      <c r="D101" s="89" t="str">
        <f>'extractie-npr-op-rente'!G9</f>
        <v xml:space="preserve"> </v>
      </c>
      <c r="E101" s="177" t="str">
        <f t="shared" si="0"/>
        <v/>
      </c>
      <c r="F101" s="123">
        <v>0</v>
      </c>
      <c r="G101" s="89">
        <f>'extractie-npr-op-rente'!H9</f>
        <v>0</v>
      </c>
      <c r="H101" s="177">
        <f t="shared" si="1"/>
        <v>0</v>
      </c>
      <c r="I101" s="117"/>
      <c r="J101" s="89">
        <f>'extractie-npr-op-rente'!I9</f>
        <v>0</v>
      </c>
      <c r="K101" s="177" t="str">
        <f t="shared" si="2"/>
        <v/>
      </c>
      <c r="L101" s="117"/>
      <c r="M101" s="89">
        <f>'extractie-npr-op-rente'!J9</f>
        <v>0</v>
      </c>
      <c r="N101" s="177" t="str">
        <f t="shared" si="3"/>
        <v/>
      </c>
      <c r="O101" s="177"/>
    </row>
    <row r="102" spans="1:15" s="174" customFormat="1">
      <c r="A102" s="117" t="s">
        <v>59</v>
      </c>
      <c r="B102" s="118" t="s">
        <v>85</v>
      </c>
      <c r="C102" s="126" t="e">
        <f>IF((Tebereiken67-LOP65_tebereiken)&gt;0,67,IF(LOP65_tebereiken&gt;0,65,""))</f>
        <v>#VALUE!</v>
      </c>
      <c r="D102" s="89">
        <f>'extractie-npr-op-rente'!G10</f>
        <v>67</v>
      </c>
      <c r="E102" s="177" t="e">
        <f>IF(AND(C102="",OR(D102=" ",D102="",D102=0)),"",IF(ABS(C102-D102)&lt;1,0,1))</f>
        <v>#VALUE!</v>
      </c>
      <c r="F102" s="123"/>
      <c r="G102" s="89">
        <f>'extractie-npr-op-rente'!H10</f>
        <v>0</v>
      </c>
      <c r="H102" s="177" t="str">
        <f t="shared" si="1"/>
        <v/>
      </c>
      <c r="I102" s="117"/>
      <c r="J102" s="89">
        <f>'extractie-npr-op-rente'!I10</f>
        <v>0</v>
      </c>
      <c r="K102" s="177" t="str">
        <f t="shared" si="2"/>
        <v/>
      </c>
      <c r="L102" s="117"/>
      <c r="M102" s="89">
        <f>'extractie-npr-op-rente'!J10</f>
        <v>0</v>
      </c>
      <c r="N102" s="177" t="str">
        <f t="shared" si="3"/>
        <v/>
      </c>
      <c r="O102" s="177"/>
    </row>
    <row r="103" spans="1:15" s="174" customFormat="1">
      <c r="A103" s="117"/>
      <c r="B103" s="118" t="s">
        <v>86</v>
      </c>
      <c r="C103" s="117">
        <v>0</v>
      </c>
      <c r="D103" s="89">
        <f>'extractie-npr-op-rente'!G11</f>
        <v>0</v>
      </c>
      <c r="E103" s="177">
        <f t="shared" si="0"/>
        <v>0</v>
      </c>
      <c r="F103" s="123"/>
      <c r="G103" s="89">
        <f>'extractie-npr-op-rente'!H11</f>
        <v>0</v>
      </c>
      <c r="H103" s="177" t="str">
        <f t="shared" si="1"/>
        <v/>
      </c>
      <c r="I103" s="117"/>
      <c r="J103" s="89">
        <f>'extractie-npr-op-rente'!I11</f>
        <v>0</v>
      </c>
      <c r="K103" s="177" t="str">
        <f t="shared" si="2"/>
        <v/>
      </c>
      <c r="L103" s="117"/>
      <c r="M103" s="89">
        <f>'extractie-npr-op-rente'!J11</f>
        <v>0</v>
      </c>
      <c r="N103" s="177" t="str">
        <f t="shared" si="3"/>
        <v/>
      </c>
      <c r="O103" s="177"/>
    </row>
    <row r="104" spans="1:15" s="174" customFormat="1">
      <c r="A104" s="117" t="s">
        <v>70</v>
      </c>
      <c r="B104" s="118" t="s">
        <v>87</v>
      </c>
      <c r="C104" s="117"/>
      <c r="D104" s="89" t="str">
        <f>'extractie-npr-op-rente'!G12</f>
        <v xml:space="preserve"> </v>
      </c>
      <c r="E104" s="177" t="str">
        <f t="shared" si="0"/>
        <v/>
      </c>
      <c r="F104" s="123"/>
      <c r="G104" s="89">
        <f>'extractie-npr-op-rente'!H12</f>
        <v>0</v>
      </c>
      <c r="H104" s="177" t="str">
        <f t="shared" si="1"/>
        <v/>
      </c>
      <c r="I104" s="117"/>
      <c r="J104" s="89">
        <f>'extractie-npr-op-rente'!I12</f>
        <v>0</v>
      </c>
      <c r="K104" s="177" t="str">
        <f t="shared" si="2"/>
        <v/>
      </c>
      <c r="L104" s="117"/>
      <c r="M104" s="89">
        <f>'extractie-npr-op-rente'!J12</f>
        <v>0</v>
      </c>
      <c r="N104" s="177" t="str">
        <f t="shared" si="3"/>
        <v/>
      </c>
      <c r="O104" s="177"/>
    </row>
    <row r="105" spans="1:15" s="174" customFormat="1">
      <c r="A105" s="117"/>
      <c r="B105" s="118" t="s">
        <v>88</v>
      </c>
      <c r="C105" s="117"/>
      <c r="D105" s="89" t="str">
        <f>'extractie-npr-op-rente'!G13</f>
        <v xml:space="preserve"> </v>
      </c>
      <c r="E105" s="177" t="str">
        <f t="shared" si="0"/>
        <v/>
      </c>
      <c r="F105" s="123"/>
      <c r="G105" s="89">
        <f>'extractie-npr-op-rente'!H13</f>
        <v>0</v>
      </c>
      <c r="H105" s="177" t="str">
        <f t="shared" si="1"/>
        <v/>
      </c>
      <c r="I105" s="117"/>
      <c r="J105" s="89">
        <f>'extractie-npr-op-rente'!I13</f>
        <v>0</v>
      </c>
      <c r="K105" s="177" t="str">
        <f t="shared" si="2"/>
        <v/>
      </c>
      <c r="L105" s="117"/>
      <c r="M105" s="89">
        <f>'extractie-npr-op-rente'!J13</f>
        <v>0</v>
      </c>
      <c r="N105" s="177" t="str">
        <f t="shared" si="3"/>
        <v/>
      </c>
      <c r="O105" s="177"/>
    </row>
    <row r="106" spans="1:15" s="174" customFormat="1">
      <c r="A106" s="117" t="s">
        <v>79</v>
      </c>
      <c r="B106" s="118" t="s">
        <v>90</v>
      </c>
      <c r="C106" s="117"/>
      <c r="D106" s="89" t="str">
        <f>'extractie-npr-op-rente'!G14</f>
        <v xml:space="preserve"> </v>
      </c>
      <c r="E106" s="177" t="str">
        <f t="shared" si="0"/>
        <v/>
      </c>
      <c r="F106" s="123"/>
      <c r="G106" s="89">
        <f>'extractie-npr-op-rente'!H14</f>
        <v>0</v>
      </c>
      <c r="H106" s="177" t="str">
        <f t="shared" si="1"/>
        <v/>
      </c>
      <c r="I106" s="117"/>
      <c r="J106" s="89">
        <f>'extractie-npr-op-rente'!I14</f>
        <v>0</v>
      </c>
      <c r="K106" s="177" t="str">
        <f t="shared" si="2"/>
        <v/>
      </c>
      <c r="L106" s="117"/>
      <c r="M106" s="89">
        <f>'extractie-npr-op-rente'!J14</f>
        <v>0</v>
      </c>
      <c r="N106" s="177" t="str">
        <f t="shared" si="3"/>
        <v/>
      </c>
      <c r="O106" s="177"/>
    </row>
    <row r="107" spans="1:15" s="174" customFormat="1">
      <c r="A107" s="117"/>
      <c r="B107" s="118" t="s">
        <v>91</v>
      </c>
      <c r="C107" s="117"/>
      <c r="D107" s="89" t="str">
        <f>'extractie-npr-op-rente'!G15</f>
        <v xml:space="preserve"> </v>
      </c>
      <c r="E107" s="177" t="str">
        <f t="shared" si="0"/>
        <v/>
      </c>
      <c r="F107" s="123"/>
      <c r="G107" s="89">
        <f>'extractie-npr-op-rente'!H15</f>
        <v>0</v>
      </c>
      <c r="H107" s="177" t="str">
        <f t="shared" si="1"/>
        <v/>
      </c>
      <c r="I107" s="117"/>
      <c r="J107" s="89">
        <f>'extractie-npr-op-rente'!I15</f>
        <v>0</v>
      </c>
      <c r="K107" s="177" t="str">
        <f t="shared" si="2"/>
        <v/>
      </c>
      <c r="L107" s="117"/>
      <c r="M107" s="89">
        <f>'extractie-npr-op-rente'!J15</f>
        <v>0</v>
      </c>
      <c r="N107" s="177" t="str">
        <f t="shared" si="3"/>
        <v/>
      </c>
      <c r="O107" s="177"/>
    </row>
    <row r="108" spans="1:15" s="174" customFormat="1">
      <c r="A108" s="117" t="s">
        <v>71</v>
      </c>
      <c r="B108" s="118"/>
      <c r="C108" s="117"/>
      <c r="D108" s="89" t="str">
        <f>'extractie-npr-op-rente'!G16</f>
        <v xml:space="preserve"> </v>
      </c>
      <c r="E108" s="177" t="str">
        <f t="shared" ref="E108" si="4">IF(AND(C108="",OR(D108=" ",D108="")),"",IF(ABS(C108-D108)&lt;1,0,1))</f>
        <v/>
      </c>
      <c r="F108" s="123"/>
      <c r="G108" s="89">
        <f>'extractie-npr-op-rente'!H16</f>
        <v>0</v>
      </c>
      <c r="H108" s="177">
        <f>IF(AND(F108="",OR(G108=" ",G108="")),"",IF(ABS(F108-G108)&lt;1,0,1))</f>
        <v>0</v>
      </c>
      <c r="I108" s="117"/>
      <c r="J108" s="89">
        <f>'extractie-npr-op-rente'!I16</f>
        <v>0</v>
      </c>
      <c r="K108" s="177" t="str">
        <f t="shared" ref="K108" si="5">IF(AND(I108="",OR(J108=" ",J108="",J108=0)),"",IF(ABS(I108-J108)&lt;1,0,1))</f>
        <v/>
      </c>
      <c r="L108" s="117"/>
      <c r="M108" s="89">
        <f>'extractie-npr-op-rente'!J16</f>
        <v>0</v>
      </c>
      <c r="N108" s="177" t="str">
        <f t="shared" si="3"/>
        <v/>
      </c>
      <c r="O108" s="177"/>
    </row>
    <row r="109" spans="1:15" s="174" customFormat="1">
      <c r="A109" s="127"/>
      <c r="B109" s="118"/>
      <c r="C109" s="117"/>
      <c r="D109" s="89" t="s">
        <v>89</v>
      </c>
      <c r="E109" s="177" t="str">
        <f t="shared" ref="E109" si="6">IF(AND(C109="",OR(D109=" ",D109="")),"",IF(ABS(C109-D109)&lt;1,0,1))</f>
        <v/>
      </c>
      <c r="F109" s="117"/>
      <c r="G109" s="89"/>
      <c r="H109" s="177" t="str">
        <f>IF(AND(F109="",OR(G109=" ",G109="")),"",IF(ABS(F109-G109)&lt;1,0,1))</f>
        <v/>
      </c>
      <c r="I109" s="117"/>
      <c r="J109" s="89"/>
      <c r="K109" s="177" t="str">
        <f t="shared" ref="K109:K110" si="7">IF(AND(I109="",OR(J109=" ",J109="")),"",IF(ABS(I109-J109)&lt;1,0,1))</f>
        <v/>
      </c>
      <c r="L109" s="117"/>
      <c r="M109" s="89"/>
      <c r="N109" s="118" t="str">
        <f t="shared" ref="N109:N110" si="8">IF(AND(L109="",OR(M109=" ",M109="")),"",IF(ABS(L109-M109)&lt;1,0,1))</f>
        <v/>
      </c>
      <c r="O109" s="177"/>
    </row>
    <row r="110" spans="1:15" s="174" customFormat="1">
      <c r="A110" s="127" t="s">
        <v>56</v>
      </c>
      <c r="B110" s="118" t="s">
        <v>60</v>
      </c>
      <c r="C110" s="117"/>
      <c r="D110" s="157" t="str">
        <f>'extractie-npr-op-rente'!G18</f>
        <v xml:space="preserve"> </v>
      </c>
      <c r="E110" s="177" t="str">
        <f>IF(AND(C110="",OR(D110=" ",D110="")),"",IF(ABS(C110-D110)&lt;1,0,1))</f>
        <v/>
      </c>
      <c r="F110" s="123"/>
      <c r="G110" s="157">
        <f>'extractie-npr-op-rente'!H18</f>
        <v>0</v>
      </c>
      <c r="H110" s="177">
        <f t="shared" ref="H110:H124" si="9">IF(AND(F110="",OR(G110=" ",G110="")),"",IF(ABS(F110-G110)&lt;1,0,1))</f>
        <v>0</v>
      </c>
      <c r="I110" s="117"/>
      <c r="J110" s="157">
        <f>'extractie-npr-op-rente'!I18</f>
        <v>0</v>
      </c>
      <c r="K110" s="177">
        <f t="shared" si="7"/>
        <v>0</v>
      </c>
      <c r="L110" s="117"/>
      <c r="M110" s="157">
        <f>'extractie-npr-op-rente'!J18</f>
        <v>0</v>
      </c>
      <c r="N110" s="118">
        <f t="shared" si="8"/>
        <v>0</v>
      </c>
      <c r="O110" s="177"/>
    </row>
    <row r="111" spans="1:15" s="174" customFormat="1">
      <c r="A111" s="127"/>
      <c r="B111" s="128" t="s">
        <v>61</v>
      </c>
      <c r="C111" s="158" t="e">
        <f>IF(Tebereiken67&gt;0,Tebereiken67,IF(LOP65_tebereiken&gt;0,LOP65_tebereiken,""))</f>
        <v>#VALUE!</v>
      </c>
      <c r="D111" s="157">
        <f>'extractie-npr-op-rente'!G19</f>
        <v>4569</v>
      </c>
      <c r="E111" s="177" t="e">
        <f>IF(AND(C111="",OR(D111=" ",D111="")),"",IF(ABS(C111-D111)&lt;marge,0,1))</f>
        <v>#VALUE!</v>
      </c>
      <c r="F111" s="333"/>
      <c r="G111" s="157">
        <f>'extractie-npr-op-rente'!H19</f>
        <v>0</v>
      </c>
      <c r="H111" s="177">
        <f>IF(AND(F111="",OR(G111=" ",G111="")),"",IF(ABS(F111-G111)&lt;20,0,1))</f>
        <v>0</v>
      </c>
      <c r="I111" s="117"/>
      <c r="J111" s="157">
        <f>'extractie-npr-op-rente'!I19</f>
        <v>0</v>
      </c>
      <c r="K111" s="177">
        <f>IF(AND(I111="",OR(J111=" ",J111="")),"",IF(ABS(I111-J111)&lt;20,0,1))</f>
        <v>0</v>
      </c>
      <c r="L111" s="117"/>
      <c r="M111" s="157">
        <f>'extractie-npr-op-rente'!J19</f>
        <v>0</v>
      </c>
      <c r="N111" s="118">
        <f>IF(AND(L111="",OR(M111=" ",M111="")),"",IF(ABS(L111-M111)&lt;20,0,1))</f>
        <v>0</v>
      </c>
      <c r="O111" s="177"/>
    </row>
    <row r="112" spans="1:15" s="174" customFormat="1">
      <c r="A112" s="127"/>
      <c r="B112" s="128" t="s">
        <v>62</v>
      </c>
      <c r="C112" s="158" t="e">
        <f>IF(Tebereiken67&gt;0,B56,IF(LOP65_tebereiken&gt;0,LOP65_tebereiken,""))</f>
        <v>#VALUE!</v>
      </c>
      <c r="D112" s="157">
        <f>'extractie-npr-op-rente'!G20</f>
        <v>1132</v>
      </c>
      <c r="E112" s="177" t="e">
        <f>IF(AND(C112="",OR(D112=" ",D112="")),"",IF(ABS(C112-D112)&lt;marge,0,1))</f>
        <v>#VALUE!</v>
      </c>
      <c r="F112" s="333"/>
      <c r="G112" s="157">
        <f>'extractie-npr-op-rente'!H20</f>
        <v>0</v>
      </c>
      <c r="H112" s="177">
        <f>IF(AND(F112="",OR(G112=" ",G112="")),"",IF(ABS(F112-G112)&lt;20,0,1))</f>
        <v>0</v>
      </c>
      <c r="I112" s="117"/>
      <c r="J112" s="157">
        <f>'extractie-npr-op-rente'!I20</f>
        <v>0</v>
      </c>
      <c r="K112" s="177">
        <f t="shared" ref="K112:K113" si="10">IF(AND(I112="",OR(J112=" ",J112="")),"",IF(ABS(I112-J112)&lt;20,0,1))</f>
        <v>0</v>
      </c>
      <c r="L112" s="117"/>
      <c r="M112" s="157">
        <f>'extractie-npr-op-rente'!J20</f>
        <v>0</v>
      </c>
      <c r="N112" s="118">
        <f t="shared" ref="N112:N113" si="11">IF(AND(L112="",OR(M112=" ",M112="")),"",IF(ABS(L112-M112)&lt;20,0,1))</f>
        <v>0</v>
      </c>
      <c r="O112" s="177"/>
    </row>
    <row r="113" spans="1:15" s="174" customFormat="1">
      <c r="A113" s="127"/>
      <c r="B113" s="118" t="s">
        <v>63</v>
      </c>
      <c r="C113" s="117"/>
      <c r="D113" s="157" t="str">
        <f>'extractie-npr-op-rente'!G21</f>
        <v xml:space="preserve"> </v>
      </c>
      <c r="E113" s="177" t="str">
        <f>IF(AND(C113="",OR(D113=" ",D113="")),"",IF(ABS(C113-D113)&lt;20,0,1))</f>
        <v/>
      </c>
      <c r="F113" s="123"/>
      <c r="G113" s="157">
        <f>'extractie-npr-op-rente'!H21</f>
        <v>0</v>
      </c>
      <c r="H113" s="177">
        <f>IF(AND(F113="",OR(G113=" ",G113="")),"",IF(ABS(F113-G113)&lt;20,0,1))</f>
        <v>0</v>
      </c>
      <c r="I113" s="117"/>
      <c r="J113" s="157">
        <f>'extractie-npr-op-rente'!I21</f>
        <v>0</v>
      </c>
      <c r="K113" s="177">
        <f t="shared" si="10"/>
        <v>0</v>
      </c>
      <c r="L113" s="117"/>
      <c r="M113" s="157">
        <f>'extractie-npr-op-rente'!J21</f>
        <v>0</v>
      </c>
      <c r="N113" s="118">
        <f t="shared" si="11"/>
        <v>0</v>
      </c>
      <c r="O113" s="177"/>
    </row>
    <row r="114" spans="1:15" s="174" customFormat="1">
      <c r="A114" s="127"/>
      <c r="B114" s="118"/>
      <c r="C114" s="117"/>
      <c r="D114" s="89" t="s">
        <v>89</v>
      </c>
      <c r="E114" s="177" t="str">
        <f t="shared" ref="E114:E117" si="12">IF(AND(C114="",D114=" "),"",IF(ABS(C114-D114)&lt;1,0,1))</f>
        <v/>
      </c>
      <c r="F114" s="117"/>
      <c r="G114" s="89"/>
      <c r="H114" s="177" t="str">
        <f t="shared" si="9"/>
        <v/>
      </c>
      <c r="I114" s="117"/>
      <c r="J114" s="89"/>
      <c r="K114" s="177" t="str">
        <f t="shared" ref="K114:K116" si="13">IF(AND(I114="",OR(J114=" ",J114="")),"",IF(ABS(I114-J114)&lt;1,0,1))</f>
        <v/>
      </c>
      <c r="L114" s="117"/>
      <c r="M114" s="89"/>
      <c r="N114" s="118" t="str">
        <f t="shared" ref="N114:N117" si="14">IF(AND(L114="",OR(M114=" ",M114="")),"",IF(ABS(L114-M114)&lt;1,0,1))</f>
        <v/>
      </c>
      <c r="O114" s="177"/>
    </row>
    <row r="115" spans="1:15" s="174" customFormat="1">
      <c r="A115" s="127" t="s">
        <v>64</v>
      </c>
      <c r="B115" s="118"/>
      <c r="C115" s="117"/>
      <c r="D115" s="89" t="s">
        <v>89</v>
      </c>
      <c r="E115" s="177" t="str">
        <f t="shared" si="12"/>
        <v/>
      </c>
      <c r="F115" s="117"/>
      <c r="G115" s="124"/>
      <c r="H115" s="177" t="str">
        <f t="shared" si="9"/>
        <v/>
      </c>
      <c r="I115" s="123"/>
      <c r="J115" s="124"/>
      <c r="K115" s="177" t="str">
        <f t="shared" si="13"/>
        <v/>
      </c>
      <c r="L115" s="123"/>
      <c r="M115" s="124"/>
      <c r="N115" s="125" t="str">
        <f t="shared" si="14"/>
        <v/>
      </c>
      <c r="O115" s="177"/>
    </row>
    <row r="116" spans="1:15" s="174" customFormat="1">
      <c r="A116" s="127"/>
      <c r="B116" s="118"/>
      <c r="C116" s="117"/>
      <c r="D116" s="89" t="s">
        <v>89</v>
      </c>
      <c r="E116" s="177" t="str">
        <f t="shared" si="12"/>
        <v/>
      </c>
      <c r="F116" s="117"/>
      <c r="G116" s="124"/>
      <c r="H116" s="177" t="str">
        <f t="shared" si="9"/>
        <v/>
      </c>
      <c r="I116" s="123"/>
      <c r="J116" s="124"/>
      <c r="K116" s="177" t="str">
        <f t="shared" si="13"/>
        <v/>
      </c>
      <c r="L116" s="123"/>
      <c r="M116" s="124"/>
      <c r="N116" s="125" t="str">
        <f t="shared" si="14"/>
        <v/>
      </c>
      <c r="O116" s="177"/>
    </row>
    <row r="117" spans="1:15" s="174" customFormat="1">
      <c r="A117" s="178" t="s">
        <v>65</v>
      </c>
      <c r="B117" s="130"/>
      <c r="C117" s="178"/>
      <c r="D117" s="89" t="str">
        <f>'extractie-npr-op-rente'!G37</f>
        <v xml:space="preserve"> </v>
      </c>
      <c r="E117" s="177" t="str">
        <f t="shared" si="12"/>
        <v/>
      </c>
      <c r="F117" s="123"/>
      <c r="G117" s="89">
        <f>'extractie-npr-op-rente'!H37</f>
        <v>0</v>
      </c>
      <c r="H117" s="177">
        <f t="shared" si="9"/>
        <v>0</v>
      </c>
      <c r="I117" s="117"/>
      <c r="J117" s="89">
        <f>'extractie-npr-op-rente'!I37</f>
        <v>0</v>
      </c>
      <c r="K117" s="177">
        <f>IF(AND(I117="",OR(J117=" ",J117="")),"",IF(ABS(I117-J117)&lt;1,0,1))</f>
        <v>0</v>
      </c>
      <c r="L117" s="117"/>
      <c r="M117" s="89">
        <f>'extractie-npr-op-rente'!J37</f>
        <v>0</v>
      </c>
      <c r="N117" s="118">
        <f t="shared" si="14"/>
        <v>0</v>
      </c>
      <c r="O117" s="177"/>
    </row>
    <row r="118" spans="1:15" s="174" customFormat="1">
      <c r="A118" s="117"/>
      <c r="B118" s="118" t="s">
        <v>52</v>
      </c>
      <c r="C118" s="187" t="e">
        <f>IF(Tebereiken67&gt;0,IF(AND(flex_toegestaan_AOW_min_2="True",D44=0),"","X"),"")</f>
        <v>#VALUE!</v>
      </c>
      <c r="D118" s="89" t="str">
        <f>'extractie-npr-op-rente'!G38</f>
        <v xml:space="preserve"> </v>
      </c>
      <c r="E118" s="177">
        <f>IFERROR(IF(OR(EXACT(C118,D118),AND(C118="",OR(D118=0,D118=" "))),0,IF(ABS(C118-D118)&lt;1,0,1)),1)</f>
        <v>1</v>
      </c>
      <c r="F118" s="187" t="str">
        <f>IF(F105&gt;0,IF(flex_toegestaan_AOW="True","","X"),"")</f>
        <v/>
      </c>
      <c r="G118" s="89">
        <f>'extractie-npr-op-rente'!H38</f>
        <v>0</v>
      </c>
      <c r="H118" s="177">
        <f>IFERROR(IF(OR(EXACT(F118,G118),AND(F118="",OR(G118=0,G118=" "))),0,IF(ABS(F118-G118)&lt;1,0,1)),1)</f>
        <v>0</v>
      </c>
      <c r="I118" s="187"/>
      <c r="J118" s="89">
        <f>'extractie-npr-op-rente'!I38</f>
        <v>0</v>
      </c>
      <c r="K118" s="177">
        <f>IFERROR(IF(OR(EXACT(I118,J118),AND(I118="",OR(J118=0,J118=" "))),0,IF(ABS(I118-J118)&lt;1,0,1)),1)</f>
        <v>0</v>
      </c>
      <c r="L118" s="178"/>
      <c r="M118" s="89">
        <f>'extractie-npr-op-rente'!J38</f>
        <v>0</v>
      </c>
      <c r="N118" s="177">
        <f>IFERROR(IF(OR(EXACT(L118,M118),AND(L118="",OR(M118=0,M118=" "))),0,IF(ABS(L118-M118)&lt;1,0,1)),1)</f>
        <v>0</v>
      </c>
      <c r="O118" s="177" t="str">
        <f>IF(OR(EXACT(M118,N118),AND(M118="",N118=" ")),"",IF(ABS(M118-N118)&lt;1,0,1))</f>
        <v/>
      </c>
    </row>
    <row r="119" spans="1:15" s="174" customFormat="1">
      <c r="A119" s="117"/>
      <c r="B119" s="128" t="s">
        <v>162</v>
      </c>
      <c r="C119" s="367" t="e">
        <f>IF(D44=0,IF(AND(J95=1,flex_toegestaan_AOW_min_2="true"),LOP_67_AOWmin2+LOP_65_AOWmin2_tebereiken,""),"")</f>
        <v>#VALUE!</v>
      </c>
      <c r="D119" s="89">
        <f>'extractie-npr-op-rente'!G39</f>
        <v>3767</v>
      </c>
      <c r="E119" s="177" t="e">
        <f>IF(AND(C119="",OR(D119=" ",D119="",D119=0)),"",IF(ABS(C119-D119)&lt;marge,0,1))</f>
        <v>#VALUE!</v>
      </c>
      <c r="F119" s="123" t="e">
        <f>IF(AND(J95=2,flex_toegestaan_AOW_min_2="true"),LOP_67_AOWmin2+LOP_65_AOWmin2_opgebouwd,"")</f>
        <v>#VALUE!</v>
      </c>
      <c r="G119" s="89">
        <f>'extractie-npr-op-rente'!H39</f>
        <v>0</v>
      </c>
      <c r="H119" s="177" t="e">
        <f>IF(AND(F119="",OR(G119=" ",G119="",G119=0)),"",IF(ABS(F119-G119)&lt;marge,0,1))</f>
        <v>#VALUE!</v>
      </c>
      <c r="I119" s="178" t="e">
        <f>IF(AND(J95=3,flex_toegestaan_AOW_min_2="true"),LOP_67_AOWmin2+LOP67_ACT,"")</f>
        <v>#VALUE!</v>
      </c>
      <c r="J119" s="89">
        <f>'extractie-npr-op-rente'!I39</f>
        <v>0</v>
      </c>
      <c r="K119" s="177" t="e">
        <f>IF(AND(I119="",OR(J119=" ",J119="",J119=0)),"",IF(ABS(I119-J119)&lt;marge,0,1))</f>
        <v>#VALUE!</v>
      </c>
      <c r="L119" s="178"/>
      <c r="M119" s="89">
        <f>'extractie-npr-op-rente'!J39</f>
        <v>0</v>
      </c>
      <c r="N119" s="177" t="str">
        <f>IF(AND(L119="",OR(M119=" ",M119="",M119=0)),"",IF(ABS(L119-M119)&lt;marge,0,1))</f>
        <v/>
      </c>
      <c r="O119" s="177"/>
    </row>
    <row r="120" spans="1:15" s="174" customFormat="1">
      <c r="A120" s="117"/>
      <c r="B120" s="118" t="s">
        <v>51</v>
      </c>
      <c r="C120" s="367" t="e">
        <f>IF(D44=0,IF(AND(J95=1,flex_toegestaan_AOW_min_2="true"),LOP_67_AOWmin2_opgebouwd+LOP_65_AOWmin2_opgebouwd,""),"")</f>
        <v>#VALUE!</v>
      </c>
      <c r="D120" s="89">
        <f>'extractie-npr-op-rente'!G40</f>
        <v>1002</v>
      </c>
      <c r="E120" s="177" t="e">
        <f>IF(AND(C120="",OR(D120=" ",D120="",D120=0)),"",IF(ABS(C120-D120)&lt;marge,0,1))</f>
        <v>#VALUE!</v>
      </c>
      <c r="F120" s="123"/>
      <c r="G120" s="89">
        <f>'extractie-npr-op-rente'!H40</f>
        <v>0</v>
      </c>
      <c r="H120" s="177" t="str">
        <f>IF(AND(F120="",OR(G120=" ",G120="",G120=0)),"",IF(ABS(F120-G120)&lt;marge,0,1))</f>
        <v/>
      </c>
      <c r="I120" s="117"/>
      <c r="J120" s="89">
        <f>'extractie-npr-op-rente'!I40</f>
        <v>0</v>
      </c>
      <c r="K120" s="177" t="str">
        <f>IF(AND(I120="",OR(J120=" ",J120="",J120=0)),"",IF(ABS(I120-J120)&lt;marge,0,1))</f>
        <v/>
      </c>
      <c r="L120" s="117"/>
      <c r="M120" s="89">
        <f>'extractie-npr-op-rente'!J40</f>
        <v>0</v>
      </c>
      <c r="N120" s="177" t="str">
        <f>IF(AND(L120="",OR(M120=" ",M120="",M120=0)),"",IF(ABS(L120-M120)&lt;marge,0,1))</f>
        <v/>
      </c>
      <c r="O120" s="177"/>
    </row>
    <row r="121" spans="1:15" s="174" customFormat="1">
      <c r="A121" s="117"/>
      <c r="B121" s="118" t="s">
        <v>67</v>
      </c>
      <c r="C121" s="159"/>
      <c r="D121" s="89" t="str">
        <f>'extractie-npr-op-rente'!G41</f>
        <v xml:space="preserve"> </v>
      </c>
      <c r="E121" s="177" t="str">
        <f>IF(AND(C121="",OR(D121=" ",D121="",D121=0)),"",IF(ABS(C121-D121)&lt;20,0,1))</f>
        <v/>
      </c>
      <c r="F121" s="123"/>
      <c r="G121" s="89">
        <f>'extractie-npr-op-rente'!H41</f>
        <v>0</v>
      </c>
      <c r="H121" s="177" t="str">
        <f>IF(AND(F121="",OR(G121=" ",G121="",G121=0)),"",IF(ABS(F121-G121)&lt;marge,0,1))</f>
        <v/>
      </c>
      <c r="I121" s="117"/>
      <c r="J121" s="89">
        <f>'extractie-npr-op-rente'!I41</f>
        <v>0</v>
      </c>
      <c r="K121" s="177" t="str">
        <f>IF(AND(I121="",OR(J121=" ",J121="",J121=0)),"",IF(ABS(I121-J121)&lt;marge,0,1))</f>
        <v/>
      </c>
      <c r="L121" s="117"/>
      <c r="M121" s="89">
        <f>'extractie-npr-op-rente'!J41</f>
        <v>0</v>
      </c>
      <c r="N121" s="177" t="str">
        <f>IF(AND(L121="",OR(M121=" ",M121="",M121=0)),"",IF(ABS(L121-M121)&lt;marge,0,1))</f>
        <v/>
      </c>
      <c r="O121" s="177"/>
    </row>
    <row r="122" spans="1:15" s="378" customFormat="1">
      <c r="A122" s="117"/>
      <c r="B122" s="118"/>
      <c r="C122" s="159"/>
      <c r="D122" s="89"/>
      <c r="E122" s="177"/>
      <c r="F122" s="123"/>
      <c r="G122" s="89"/>
      <c r="H122" s="177"/>
      <c r="I122" s="117"/>
      <c r="J122" s="89"/>
      <c r="K122" s="177"/>
      <c r="L122" s="117"/>
      <c r="M122" s="89"/>
      <c r="N122" s="177"/>
      <c r="O122" s="177"/>
    </row>
    <row r="123" spans="1:15" s="174" customFormat="1">
      <c r="A123" s="117"/>
      <c r="B123" s="118"/>
      <c r="C123" s="159"/>
      <c r="D123" s="89"/>
      <c r="E123" s="177" t="str">
        <f t="shared" ref="E123:E134" si="15">IF(AND(C123="",OR(D123=" ",D123="",D123=0)),"",IF(ABS(C123-D123)&lt;20,0,1))</f>
        <v/>
      </c>
      <c r="F123" s="123"/>
      <c r="G123" s="89">
        <f>'extractie-npr-op-rente'!H42</f>
        <v>0</v>
      </c>
      <c r="H123" s="177" t="str">
        <f t="shared" ref="H123" si="16">IF(AND(F123="",OR(G123=" ",G123="",G123=0)),"",IF(ABS(F123-G123)&lt;20,0,1))</f>
        <v/>
      </c>
      <c r="I123" s="117"/>
      <c r="J123" s="89">
        <f>'extractie-npr-op-rente'!I42</f>
        <v>0</v>
      </c>
      <c r="K123" s="177" t="str">
        <f t="shared" ref="K123:K124" si="17">IF(AND(I123="",OR(J123=" ",J123="",J123=0)),"",IF(ABS(I123-J123)&lt;20,0,1))</f>
        <v/>
      </c>
      <c r="L123" s="117"/>
      <c r="M123" s="89">
        <f>'extractie-npr-op-rente'!J42</f>
        <v>0</v>
      </c>
      <c r="N123" s="177" t="str">
        <f t="shared" ref="N123:N130" si="18">IF(AND(L123="",OR(M123=" ",M123="",M123=0)),"",IF(ABS(L123-M123)&lt;20,0,1))</f>
        <v/>
      </c>
      <c r="O123" s="177"/>
    </row>
    <row r="124" spans="1:15" s="174" customFormat="1">
      <c r="A124" s="117" t="s">
        <v>68</v>
      </c>
      <c r="B124" s="118"/>
      <c r="C124" s="159"/>
      <c r="D124" s="89" t="str">
        <f>'extractie-npr-op-rente'!G43</f>
        <v xml:space="preserve"> </v>
      </c>
      <c r="E124" s="177" t="str">
        <f t="shared" si="15"/>
        <v/>
      </c>
      <c r="F124" s="123"/>
      <c r="G124" s="89">
        <f>'extractie-npr-op-rente'!H43</f>
        <v>0</v>
      </c>
      <c r="H124" s="177">
        <f t="shared" si="9"/>
        <v>0</v>
      </c>
      <c r="I124" s="117"/>
      <c r="J124" s="89">
        <f>'extractie-npr-op-rente'!I43</f>
        <v>0</v>
      </c>
      <c r="K124" s="177" t="str">
        <f t="shared" si="17"/>
        <v/>
      </c>
      <c r="L124" s="117"/>
      <c r="M124" s="89">
        <f>'extractie-npr-op-rente'!J43</f>
        <v>0</v>
      </c>
      <c r="N124" s="177" t="str">
        <f t="shared" si="18"/>
        <v/>
      </c>
      <c r="O124" s="177"/>
    </row>
    <row r="125" spans="1:15" s="174" customFormat="1">
      <c r="A125" s="117"/>
      <c r="B125" s="118" t="s">
        <v>52</v>
      </c>
      <c r="C125" s="371" t="e">
        <f>IF(Tebereiken67&gt;0,IF(AND(flex_toegestaan_AOW="True",D44=0),"","X"),"")</f>
        <v>#VALUE!</v>
      </c>
      <c r="D125" s="89" t="str">
        <f>'extractie-npr-op-rente'!G44</f>
        <v xml:space="preserve"> </v>
      </c>
      <c r="E125" s="177">
        <f>IFERROR(IF(OR(EXACT(C125,D125),AND(C125="",OR(D125=0,D125=" "))),0,IF(ABS(C125-D125)&lt;1,0,1)),1)</f>
        <v>1</v>
      </c>
      <c r="F125" s="187" t="str">
        <f>IF(F111&gt;0,IF(flex_toegestaan_AOW="True","","X"),"")</f>
        <v/>
      </c>
      <c r="G125" s="89">
        <f>'extractie-npr-op-rente'!H44</f>
        <v>0</v>
      </c>
      <c r="H125" s="177">
        <f>IFERROR(IF(OR(EXACT(F125,G125),AND(F125="",OR(G125=0,G125=" "))),0,IF(ABS(F125-G125)&lt;1,0,1)),1)</f>
        <v>0</v>
      </c>
      <c r="I125" s="187"/>
      <c r="J125" s="89">
        <f>'extractie-npr-op-rente'!I44</f>
        <v>0</v>
      </c>
      <c r="K125" s="177">
        <f>IFERROR(IF(OR(EXACT(I125,J125),AND(I125="",OR(J125=0,J125=" "))),0,IF(ABS(I125-J125)&lt;1,0,1)),1)</f>
        <v>0</v>
      </c>
      <c r="L125" s="117"/>
      <c r="M125" s="89">
        <f>'extractie-npr-op-rente'!J44</f>
        <v>0</v>
      </c>
      <c r="N125" s="177">
        <f>IFERROR(IF(OR(EXACT(L125,M125),AND(L125="",OR(M125=0,M125=" "))),0,IF(ABS(L125-M125)&lt;1,0,1)),1)</f>
        <v>0</v>
      </c>
      <c r="O125" s="177" t="str">
        <f>IF(OR(EXACT(M125,N125),AND(M125="",N125=" ")),"",IF(ABS(M125-N125)&lt;1,0,1))</f>
        <v/>
      </c>
    </row>
    <row r="126" spans="1:15" s="174" customFormat="1">
      <c r="A126" s="117"/>
      <c r="B126" s="118" t="s">
        <v>66</v>
      </c>
      <c r="C126" s="159" t="e">
        <f>IF(D44=0,IF(AND(J95=1,flex_toegestaan_AOW="true"),LOP_67_AOW+LOP_65_AOW_tebereiken,""),"")</f>
        <v>#VALUE!</v>
      </c>
      <c r="D126" s="89">
        <f>'extractie-npr-op-rente'!G45</f>
        <v>4660</v>
      </c>
      <c r="E126" s="177" t="e">
        <f>IF(AND(C126="",OR(D126=" ",D126="",D126=0)),"",IF(ABS(C126-D126)&lt;marge,0,1))</f>
        <v>#VALUE!</v>
      </c>
      <c r="F126" s="123"/>
      <c r="G126" s="89">
        <f>'extractie-npr-op-rente'!H45</f>
        <v>0</v>
      </c>
      <c r="H126" s="177" t="str">
        <f>IF(AND(F126="",OR(G126=" ",G126="",G126=0)),"",IF(ABS(F126-G126)&lt;marge,0,1))</f>
        <v/>
      </c>
      <c r="I126" s="117"/>
      <c r="J126" s="89">
        <f>'extractie-npr-op-rente'!I45</f>
        <v>0</v>
      </c>
      <c r="K126" s="177" t="str">
        <f>IF(AND(I126="",OR(J126=" ",J126="",J126=0)),"",IF(ABS(I126-J126)&lt;marge,0,1))</f>
        <v/>
      </c>
      <c r="L126" s="117"/>
      <c r="M126" s="89">
        <f>'extractie-npr-op-rente'!J45</f>
        <v>0</v>
      </c>
      <c r="N126" s="177" t="str">
        <f>IF(AND(L126="",OR(M126=" ",M126="",M126=0)),"",IF(ABS(L126-M126)&lt;marge,0,1))</f>
        <v/>
      </c>
      <c r="O126" s="177"/>
    </row>
    <row r="127" spans="1:15" s="174" customFormat="1">
      <c r="A127" s="117"/>
      <c r="B127" s="118" t="s">
        <v>51</v>
      </c>
      <c r="C127" s="159" t="e">
        <f>IF(D44=0,IF(AND(J95=1,flex_toegestaan_AOW="true"),LOP_67_AOW_opgebouwd+LOP_65_AOW_tebereiken,""),"")</f>
        <v>#VALUE!</v>
      </c>
      <c r="D127" s="89">
        <f>'extractie-npr-op-rente'!G46</f>
        <v>1155</v>
      </c>
      <c r="E127" s="177" t="e">
        <f>IF(AND(C127="",OR(D127=" ",D127="",D127=0)),"",IF(ABS(C127-D127)&lt;marge,0,1))</f>
        <v>#VALUE!</v>
      </c>
      <c r="F127" s="123"/>
      <c r="G127" s="89">
        <f>'extractie-npr-op-rente'!H46</f>
        <v>0</v>
      </c>
      <c r="H127" s="177" t="str">
        <f>IF(AND(F127="",OR(G127=" ",G127="",G127=0)),"",IF(ABS(F127-G127)&lt;marge,0,1))</f>
        <v/>
      </c>
      <c r="I127" s="117"/>
      <c r="J127" s="89">
        <f>'extractie-npr-op-rente'!I46</f>
        <v>0</v>
      </c>
      <c r="K127" s="177" t="str">
        <f>IF(AND(I127="",OR(J127=" ",J127="",J127=0)),"",IF(ABS(I127-J127)&lt;marge,0,1))</f>
        <v/>
      </c>
      <c r="L127" s="117"/>
      <c r="M127" s="89">
        <f>'extractie-npr-op-rente'!J46</f>
        <v>0</v>
      </c>
      <c r="N127" s="177" t="str">
        <f>IF(AND(L127="",OR(M127=" ",M127="",M127=0)),"",IF(ABS(L127-M127)&lt;marge,0,1))</f>
        <v/>
      </c>
      <c r="O127" s="177"/>
    </row>
    <row r="128" spans="1:15" s="174" customFormat="1">
      <c r="A128" s="117"/>
      <c r="B128" s="118" t="s">
        <v>67</v>
      </c>
      <c r="C128" s="159"/>
      <c r="D128" s="89" t="str">
        <f>'extractie-npr-op-rente'!G47</f>
        <v xml:space="preserve"> </v>
      </c>
      <c r="E128" s="177" t="str">
        <f t="shared" si="15"/>
        <v/>
      </c>
      <c r="F128" s="123"/>
      <c r="G128" s="89">
        <f>'extractie-npr-op-rente'!H47</f>
        <v>0</v>
      </c>
      <c r="H128" s="177" t="str">
        <f>IF(AND(F128="",OR(G128=" ",G128="",G128=0)),"",IF(ABS(F128-G128)&lt;marge,0,1))</f>
        <v/>
      </c>
      <c r="I128" s="117"/>
      <c r="J128" s="89">
        <f>'extractie-npr-op-rente'!I47</f>
        <v>0</v>
      </c>
      <c r="K128" s="177" t="str">
        <f>IF(AND(I128="",OR(J128=" ",J128="",J128=0)),"",IF(ABS(I128-J128)&lt;marge,0,1))</f>
        <v/>
      </c>
      <c r="L128" s="117"/>
      <c r="M128" s="89">
        <f>'extractie-npr-op-rente'!J47</f>
        <v>0</v>
      </c>
      <c r="N128" s="177" t="str">
        <f>IF(AND(L128="",OR(M128=" ",M128="",M128=0)),"",IF(ABS(L128-M128)&lt;marge,0,1))</f>
        <v/>
      </c>
      <c r="O128" s="177"/>
    </row>
    <row r="129" spans="1:15" s="174" customFormat="1">
      <c r="A129" s="117"/>
      <c r="B129" s="118"/>
      <c r="C129" s="159"/>
      <c r="D129" s="89" t="str">
        <f>'extractie-npr-op-rente'!G48</f>
        <v xml:space="preserve"> </v>
      </c>
      <c r="E129" s="177" t="str">
        <f t="shared" si="15"/>
        <v/>
      </c>
      <c r="F129" s="123"/>
      <c r="G129" s="89">
        <f>'extractie-npr-op-rente'!H48</f>
        <v>0</v>
      </c>
      <c r="H129" s="177" t="str">
        <f t="shared" ref="H129:H130" si="19">IF(AND(F129="",OR(G129=" ",G129="",G129=0)),"",IF(ABS(F129-G129)&lt;20,0,1))</f>
        <v/>
      </c>
      <c r="I129" s="117"/>
      <c r="J129" s="89">
        <f>'extractie-npr-op-rente'!I48</f>
        <v>0</v>
      </c>
      <c r="K129" s="177" t="str">
        <f t="shared" ref="K129:K130" si="20">IF(AND(I129="",OR(J129=" ",J129="",J129=0)),"",IF(ABS(I129-J129)&lt;20,0,1))</f>
        <v/>
      </c>
      <c r="L129" s="117"/>
      <c r="M129" s="89">
        <f>'extractie-npr-op-rente'!J48</f>
        <v>0</v>
      </c>
      <c r="N129" s="177" t="str">
        <f t="shared" si="18"/>
        <v/>
      </c>
      <c r="O129" s="177"/>
    </row>
    <row r="130" spans="1:15" s="174" customFormat="1">
      <c r="A130" s="117" t="s">
        <v>69</v>
      </c>
      <c r="B130" s="118"/>
      <c r="C130" s="159"/>
      <c r="D130" s="89" t="str">
        <f>'extractie-npr-op-rente'!G49</f>
        <v xml:space="preserve"> </v>
      </c>
      <c r="E130" s="177" t="str">
        <f t="shared" si="15"/>
        <v/>
      </c>
      <c r="F130" s="123"/>
      <c r="G130" s="89">
        <f>'extractie-npr-op-rente'!H49</f>
        <v>0</v>
      </c>
      <c r="H130" s="177" t="str">
        <f t="shared" si="19"/>
        <v/>
      </c>
      <c r="I130" s="117"/>
      <c r="J130" s="89">
        <f>'extractie-npr-op-rente'!I49</f>
        <v>0</v>
      </c>
      <c r="K130" s="177" t="str">
        <f t="shared" si="20"/>
        <v/>
      </c>
      <c r="L130" s="117"/>
      <c r="M130" s="89">
        <f>'extractie-npr-op-rente'!J49</f>
        <v>0</v>
      </c>
      <c r="N130" s="177" t="str">
        <f t="shared" si="18"/>
        <v/>
      </c>
      <c r="O130" s="177"/>
    </row>
    <row r="131" spans="1:15" s="174" customFormat="1">
      <c r="A131" s="117"/>
      <c r="B131" s="118" t="s">
        <v>52</v>
      </c>
      <c r="C131" s="371" t="e">
        <f>IF(Tebereiken67&gt;0,IF(AND(flex_toegestaan_AOW_plus_1="True",D44=0),"","X"),"")</f>
        <v>#VALUE!</v>
      </c>
      <c r="D131" s="89" t="str">
        <f>'extractie-npr-op-rente'!G50</f>
        <v xml:space="preserve"> </v>
      </c>
      <c r="E131" s="177">
        <f>IFERROR(IF(OR(EXACT(C131,D131),AND(C131="",OR(D131=0,D131=" "))),0,IF(ABS(C131-D131)&lt;1,0,1)),1)</f>
        <v>1</v>
      </c>
      <c r="F131" s="187" t="str">
        <f>IF(F111&gt;0,IF(flex_toegestaan_AOW_plus_1="True","","X"),"")</f>
        <v/>
      </c>
      <c r="G131" s="89">
        <f>'extractie-npr-op-rente'!H50</f>
        <v>0</v>
      </c>
      <c r="H131" s="177">
        <f>IFERROR(IF(OR(EXACT(F131,G131),AND(F131="",OR(G131=0,G131=" "))),0,IF(ABS(F131-G131)&lt;1,0,1)),1)</f>
        <v>0</v>
      </c>
      <c r="I131" s="187"/>
      <c r="J131" s="89">
        <f>'extractie-npr-op-rente'!I50</f>
        <v>0</v>
      </c>
      <c r="K131" s="177">
        <f>IFERROR(IF(OR(EXACT(I131,J131),AND(I131="",OR(J131=0,J131=" "))),0,IF(ABS(I131-J131)&lt;1,0,1)),1)</f>
        <v>0</v>
      </c>
      <c r="L131" s="117"/>
      <c r="M131" s="89">
        <f>'extractie-npr-op-rente'!J50</f>
        <v>0</v>
      </c>
      <c r="N131" s="177">
        <f>IFERROR(IF(OR(EXACT(L131,M131),AND(L131="",OR(M131=0,M131=" "))),0,IF(ABS(L131-M131)&lt;1,0,1)),1)</f>
        <v>0</v>
      </c>
      <c r="O131" s="177" t="str">
        <f>IF(OR(EXACT(M131,N131),AND(M131="",N131=" ")),"",IF(ABS(M131-N131)&lt;1,0,1))</f>
        <v/>
      </c>
    </row>
    <row r="132" spans="1:15" s="174" customFormat="1">
      <c r="A132" s="117"/>
      <c r="B132" s="118" t="s">
        <v>66</v>
      </c>
      <c r="C132" s="159" t="e">
        <f>IF(D44=0,IF(AND(J95=1,flex_toegestaan_AOW_plus_1="true"),LOP_67_AOWplus1+LOP_65_AOWplus1_tebereiken,""),"")</f>
        <v>#VALUE!</v>
      </c>
      <c r="D132" s="89">
        <f>'extractie-npr-op-rente'!G51</f>
        <v>5025</v>
      </c>
      <c r="E132" s="177" t="e">
        <f>IF(AND(C132="",OR(D132=" ",D132="",D132=0)),"",IF(ABS(C132-D132)&lt;marge,0,1))</f>
        <v>#VALUE!</v>
      </c>
      <c r="F132" s="123"/>
      <c r="G132" s="89">
        <f>'extractie-npr-op-rente'!H51</f>
        <v>0</v>
      </c>
      <c r="H132" s="177" t="str">
        <f>IF(AND(F132="",OR(G132=" ",G132="",G132=0)),"",IF(ABS(F132-G132)&lt;marge,0,1))</f>
        <v/>
      </c>
      <c r="I132" s="117"/>
      <c r="J132" s="89">
        <f>'extractie-npr-op-rente'!I51</f>
        <v>0</v>
      </c>
      <c r="K132" s="177" t="str">
        <f>IF(AND(I132="",OR(J132=" ",J132="",J132=0)),"",IF(ABS(I132-J132)&lt;marge,0,1))</f>
        <v/>
      </c>
      <c r="L132" s="117"/>
      <c r="M132" s="89">
        <f>'extractie-npr-op-rente'!J51</f>
        <v>0</v>
      </c>
      <c r="N132" s="177" t="str">
        <f>IF(AND(L132="",OR(M132=" ",M132="",M132=0)),"",IF(ABS(L132-M132)&lt;marge,0,1))</f>
        <v/>
      </c>
      <c r="O132" s="177"/>
    </row>
    <row r="133" spans="1:15" s="174" customFormat="1">
      <c r="A133" s="117"/>
      <c r="B133" s="118" t="s">
        <v>51</v>
      </c>
      <c r="C133" s="159" t="e">
        <f>IF(D44=0,IF(AND(J95=1,flex_toegestaan_AOW_plus_1="true"),LOP_67_AOWplus1_opgebouwd+LOP_65_AOWplus1_opgebouwd,""),"")</f>
        <v>#VALUE!</v>
      </c>
      <c r="D133" s="89">
        <f>'extractie-npr-op-rente'!G52</f>
        <v>1245</v>
      </c>
      <c r="E133" s="177" t="e">
        <f>IF(AND(C133="",OR(D133=" ",D133="",D133=0)),"",IF(ABS(C133-D133)&lt;marge,0,1))</f>
        <v>#VALUE!</v>
      </c>
      <c r="F133" s="123"/>
      <c r="G133" s="89">
        <f>'extractie-npr-op-rente'!H52</f>
        <v>0</v>
      </c>
      <c r="H133" s="177" t="str">
        <f>IF(AND(F133="",OR(G133=" ",G133="",G133=0)),"",IF(ABS(F133-G133)&lt;marge,0,1))</f>
        <v/>
      </c>
      <c r="I133" s="117"/>
      <c r="J133" s="89">
        <f>'extractie-npr-op-rente'!I52</f>
        <v>0</v>
      </c>
      <c r="K133" s="177" t="str">
        <f>IF(AND(I133="",OR(J133=" ",J133="",J133=0)),"",IF(ABS(I133-J133)&lt;marge,0,1))</f>
        <v/>
      </c>
      <c r="L133" s="117"/>
      <c r="M133" s="89">
        <f>'extractie-npr-op-rente'!J52</f>
        <v>0</v>
      </c>
      <c r="N133" s="177" t="str">
        <f>IF(AND(L133="",OR(M133=" ",M133="",M133=0)),"",IF(ABS(L133-M133)&lt;marge,0,1))</f>
        <v/>
      </c>
      <c r="O133" s="177"/>
    </row>
    <row r="134" spans="1:15" s="174" customFormat="1">
      <c r="A134" s="117"/>
      <c r="B134" s="118" t="s">
        <v>67</v>
      </c>
      <c r="C134" s="117"/>
      <c r="D134" s="89" t="str">
        <f>'extractie-npr-op-rente'!G53</f>
        <v xml:space="preserve"> </v>
      </c>
      <c r="E134" s="177" t="str">
        <f t="shared" si="15"/>
        <v/>
      </c>
      <c r="F134" s="123"/>
      <c r="G134" s="89">
        <f>'extractie-npr-op-rente'!H53</f>
        <v>0</v>
      </c>
      <c r="H134" s="177" t="str">
        <f>IF(AND(F134="",OR(G134=" ",G134="",G134=0)),"",IF(ABS(F134-G134)&lt;marge,0,1))</f>
        <v/>
      </c>
      <c r="I134" s="117"/>
      <c r="J134" s="89">
        <f>'extractie-npr-op-rente'!I53</f>
        <v>0</v>
      </c>
      <c r="K134" s="177" t="str">
        <f>IF(AND(I134="",OR(J134=" ",J134="",J134=0)),"",IF(ABS(I134-J134)&lt;marge,0,1))</f>
        <v/>
      </c>
      <c r="L134" s="117"/>
      <c r="M134" s="89">
        <f>'extractie-npr-op-rente'!J53</f>
        <v>0</v>
      </c>
      <c r="N134" s="177" t="str">
        <f>IF(AND(L134="",OR(M134=" ",M134="",M134=0)),"",IF(ABS(L134-M134)&lt;marge,0,1))</f>
        <v/>
      </c>
      <c r="O134" s="177"/>
    </row>
    <row r="135" spans="1:15" s="174" customFormat="1" ht="16.5" thickBot="1">
      <c r="A135" s="117"/>
      <c r="B135" s="118"/>
      <c r="C135" s="117"/>
      <c r="D135" s="89" t="s">
        <v>89</v>
      </c>
      <c r="E135" s="177" t="str">
        <f t="shared" ref="E135" si="21">IF(AND(C135="",D135=" "),"",IF(ABS(C135-D135)&lt;1,0,1))</f>
        <v/>
      </c>
      <c r="F135" s="123"/>
      <c r="G135" s="124"/>
      <c r="H135" s="177" t="str">
        <f t="shared" ref="H135" si="22">IF(AND(F135="",OR(G135=" ",G135="")),"",IF(ABS(F135-G135)&lt;1,0,1))</f>
        <v/>
      </c>
      <c r="I135" s="117"/>
      <c r="J135" s="89"/>
      <c r="K135" s="177" t="str">
        <f t="shared" ref="K135" si="23">IF(AND(I135="",OR(J135=" ",J135="")),"",IF(ABS(I135-J135)&lt;1,0,1))</f>
        <v/>
      </c>
      <c r="L135" s="131"/>
      <c r="M135" s="133"/>
      <c r="N135" s="132" t="str">
        <f t="shared" ref="N135" si="24">IF(AND(L135="",OR(M135=" ",M135="")),"",IF(ABS(L135-M135)&lt;1,0,1))</f>
        <v/>
      </c>
      <c r="O135" s="177"/>
    </row>
    <row r="136" spans="1:15" s="174" customFormat="1" ht="32.25" thickBot="1">
      <c r="A136" s="92" t="s">
        <v>173</v>
      </c>
      <c r="B136" s="94"/>
      <c r="C136" s="94"/>
      <c r="D136" s="94"/>
      <c r="E136" s="94"/>
      <c r="F136" s="201"/>
      <c r="G136" s="94"/>
      <c r="H136" s="199"/>
      <c r="I136" s="94"/>
      <c r="J136" s="94"/>
      <c r="K136" s="94"/>
      <c r="L136" s="94"/>
      <c r="M136" s="94"/>
      <c r="N136" s="94"/>
      <c r="O136" s="200"/>
    </row>
    <row r="137" spans="1:15">
      <c r="A137" s="153" t="s">
        <v>174</v>
      </c>
      <c r="B137" s="218"/>
      <c r="C137" s="278" t="s">
        <v>196</v>
      </c>
      <c r="D137" s="279"/>
      <c r="E137" s="278" t="s">
        <v>484</v>
      </c>
      <c r="F137" s="279"/>
      <c r="G137" s="79"/>
      <c r="H137" s="79"/>
      <c r="I137" s="79"/>
      <c r="J137" s="79"/>
      <c r="K137" s="79"/>
      <c r="L137" s="79"/>
      <c r="M137" s="79"/>
      <c r="N137" s="79"/>
      <c r="O137" s="80"/>
    </row>
    <row r="138" spans="1:15">
      <c r="A138" s="79"/>
      <c r="B138" s="197"/>
      <c r="C138" s="284"/>
      <c r="D138" s="152"/>
      <c r="E138" s="155"/>
      <c r="F138" s="152"/>
      <c r="G138" s="79"/>
      <c r="H138" s="79"/>
      <c r="I138" s="79"/>
      <c r="J138" s="79"/>
      <c r="K138" s="79"/>
      <c r="L138" s="79"/>
      <c r="M138" s="79"/>
      <c r="N138" s="79"/>
      <c r="O138" s="80"/>
    </row>
    <row r="139" spans="1:15">
      <c r="A139" s="79"/>
      <c r="B139" s="197"/>
      <c r="C139" s="280"/>
      <c r="D139" s="152"/>
      <c r="E139" s="155"/>
      <c r="F139" s="152"/>
      <c r="G139" s="79"/>
      <c r="H139" s="79"/>
      <c r="I139" s="79"/>
      <c r="J139" s="79"/>
      <c r="K139" s="79"/>
      <c r="L139" s="79"/>
      <c r="M139" s="79"/>
      <c r="N139" s="79"/>
      <c r="O139" s="80"/>
    </row>
    <row r="140" spans="1:15">
      <c r="A140" s="363" t="s">
        <v>479</v>
      </c>
      <c r="B140" s="197">
        <f>PP_middelloon</f>
        <v>746.25</v>
      </c>
      <c r="C140" s="280"/>
      <c r="D140" s="281"/>
      <c r="E140" s="364" t="s">
        <v>488</v>
      </c>
      <c r="F140" s="152">
        <f>WzP_middelloon</f>
        <v>630.29</v>
      </c>
      <c r="G140" s="79"/>
      <c r="H140" s="79"/>
      <c r="I140" s="79"/>
      <c r="J140" s="79"/>
      <c r="K140" s="79"/>
      <c r="L140" s="79"/>
      <c r="M140" s="79"/>
      <c r="N140" s="79"/>
      <c r="O140" s="80"/>
    </row>
    <row r="141" spans="1:15" s="378" customFormat="1">
      <c r="A141" s="391" t="s">
        <v>548</v>
      </c>
      <c r="B141" s="197">
        <f>PP_excedent</f>
        <v>0</v>
      </c>
      <c r="C141" s="280"/>
      <c r="D141" s="281"/>
      <c r="E141" s="392" t="s">
        <v>489</v>
      </c>
      <c r="F141" s="152">
        <f>WzP_excedent</f>
        <v>0</v>
      </c>
      <c r="G141" s="79"/>
      <c r="H141" s="79"/>
      <c r="I141" s="79"/>
      <c r="J141" s="79"/>
      <c r="K141" s="79"/>
      <c r="L141" s="79"/>
      <c r="M141" s="79"/>
      <c r="N141" s="79"/>
      <c r="O141" s="80"/>
    </row>
    <row r="142" spans="1:15">
      <c r="A142" s="363" t="s">
        <v>480</v>
      </c>
      <c r="B142" s="197">
        <f>PP_middelloon_oud</f>
        <v>0</v>
      </c>
      <c r="C142" s="280"/>
      <c r="D142" s="152"/>
      <c r="E142" s="364" t="s">
        <v>489</v>
      </c>
      <c r="F142" s="152">
        <f>WzP_excedent</f>
        <v>0</v>
      </c>
      <c r="G142" s="79"/>
      <c r="H142" s="79"/>
      <c r="I142" s="79"/>
      <c r="J142" s="79"/>
      <c r="K142" s="79"/>
      <c r="L142" s="79"/>
      <c r="M142" s="79"/>
      <c r="N142" s="79"/>
      <c r="O142" s="80"/>
    </row>
    <row r="143" spans="1:15">
      <c r="A143" s="363" t="s">
        <v>228</v>
      </c>
      <c r="B143" s="197" t="e">
        <f>(LOP67_VTZ+LOP67_ACT)*0.7</f>
        <v>#VALUE!</v>
      </c>
      <c r="C143" s="345"/>
      <c r="D143" s="152"/>
      <c r="E143" s="364" t="s">
        <v>499</v>
      </c>
      <c r="F143" s="219">
        <f>WzP_middelloon_opgebouwd</f>
        <v>149.25138999999999</v>
      </c>
      <c r="G143" s="79"/>
      <c r="H143" s="79"/>
      <c r="I143" s="79"/>
      <c r="J143" s="79"/>
      <c r="K143" s="79"/>
      <c r="L143" s="79"/>
      <c r="M143" s="79"/>
      <c r="N143" s="79"/>
      <c r="O143" s="80"/>
    </row>
    <row r="144" spans="1:15" s="174" customFormat="1">
      <c r="A144" s="391" t="s">
        <v>483</v>
      </c>
      <c r="B144" s="197" t="e">
        <f>(LOP67_VZT_exc+LOP67_ACT_exc)*0.7</f>
        <v>#VALUE!</v>
      </c>
      <c r="C144" s="155"/>
      <c r="D144" s="152"/>
      <c r="E144" s="392" t="s">
        <v>549</v>
      </c>
      <c r="F144" s="219">
        <f>WzP_excedent_opgebouwd</f>
        <v>0</v>
      </c>
      <c r="G144" s="79"/>
      <c r="H144" s="79"/>
      <c r="I144" s="79"/>
      <c r="J144" s="79"/>
      <c r="K144" s="79"/>
      <c r="L144" s="79"/>
      <c r="M144" s="79"/>
      <c r="N144" s="79"/>
      <c r="O144" s="80"/>
    </row>
    <row r="145" spans="1:15" s="174" customFormat="1">
      <c r="A145" s="388" t="s">
        <v>509</v>
      </c>
      <c r="B145" s="197" t="e">
        <f>IF(Rekendatum&gt;B37,0,PG_AO*Opbouwpercentage*DuurVZT_ris*Voortzettingspercentage*0.7)</f>
        <v>#VALUE!</v>
      </c>
      <c r="C145" s="155"/>
      <c r="D145" s="152"/>
      <c r="E145" s="364" t="s">
        <v>503</v>
      </c>
      <c r="F145" s="152">
        <f>WzP_oud</f>
        <v>0</v>
      </c>
      <c r="G145" s="79"/>
      <c r="H145" s="79"/>
      <c r="I145" s="79"/>
      <c r="J145" s="79"/>
      <c r="K145" s="79"/>
      <c r="L145" s="79"/>
      <c r="M145" s="79"/>
      <c r="N145" s="79"/>
      <c r="O145" s="80"/>
    </row>
    <row r="146" spans="1:15" s="378" customFormat="1">
      <c r="A146" s="402" t="s">
        <v>563</v>
      </c>
      <c r="B146" s="143">
        <f>Saldo_ZP*Inkoop_Optiek*0.7</f>
        <v>0</v>
      </c>
      <c r="C146" s="155"/>
      <c r="D146" s="152"/>
      <c r="E146" s="364"/>
      <c r="F146" s="152"/>
      <c r="G146" s="79"/>
      <c r="H146" s="79"/>
      <c r="I146" s="79"/>
      <c r="J146" s="79"/>
      <c r="K146" s="79"/>
      <c r="L146" s="79"/>
      <c r="M146" s="79"/>
      <c r="N146" s="79"/>
      <c r="O146" s="80"/>
    </row>
    <row r="147" spans="1:15" s="378" customFormat="1">
      <c r="A147" s="402" t="s">
        <v>564</v>
      </c>
      <c r="B147" s="143">
        <f>VPL_Schoen_PP</f>
        <v>0</v>
      </c>
      <c r="C147" s="155"/>
      <c r="D147" s="152"/>
      <c r="E147" s="364"/>
      <c r="F147" s="152"/>
      <c r="G147" s="79"/>
      <c r="H147" s="79"/>
      <c r="I147" s="79"/>
      <c r="J147" s="79"/>
      <c r="K147" s="79"/>
      <c r="L147" s="79"/>
      <c r="M147" s="79"/>
      <c r="N147" s="79"/>
      <c r="O147" s="80"/>
    </row>
    <row r="148" spans="1:15" s="378" customFormat="1">
      <c r="A148" s="402" t="s">
        <v>565</v>
      </c>
      <c r="B148" s="404"/>
      <c r="C148" s="155"/>
      <c r="D148" s="152"/>
      <c r="E148" s="364"/>
      <c r="F148" s="152"/>
      <c r="G148" s="79"/>
      <c r="H148" s="79"/>
      <c r="I148" s="79"/>
      <c r="J148" s="79"/>
      <c r="K148" s="79"/>
      <c r="L148" s="79"/>
      <c r="M148" s="79"/>
      <c r="N148" s="79"/>
      <c r="O148" s="80"/>
    </row>
    <row r="149" spans="1:15" s="378" customFormat="1">
      <c r="A149" s="388"/>
      <c r="B149" s="197"/>
      <c r="C149" s="155"/>
      <c r="D149" s="152"/>
      <c r="E149" s="364"/>
      <c r="F149" s="152"/>
      <c r="G149" s="79"/>
      <c r="H149" s="79"/>
      <c r="I149" s="79"/>
      <c r="J149" s="79"/>
      <c r="K149" s="79"/>
      <c r="L149" s="79"/>
      <c r="M149" s="79"/>
      <c r="N149" s="79"/>
      <c r="O149" s="80"/>
    </row>
    <row r="150" spans="1:15" ht="16.5" thickBot="1">
      <c r="A150" s="87"/>
      <c r="B150" s="220"/>
      <c r="C150" s="277"/>
      <c r="D150" s="282"/>
      <c r="E150" s="283"/>
      <c r="F150" s="282"/>
      <c r="G150" s="79"/>
      <c r="H150" s="79"/>
      <c r="I150" s="79"/>
      <c r="J150" s="79"/>
      <c r="K150" s="79"/>
      <c r="L150" s="79"/>
      <c r="M150" s="79"/>
      <c r="N150" s="79"/>
      <c r="O150" s="80"/>
    </row>
    <row r="151" spans="1:15">
      <c r="A151" s="388" t="s">
        <v>490</v>
      </c>
      <c r="B151" s="197" t="e">
        <f>SUM(B140:B145)</f>
        <v>#VALUE!</v>
      </c>
      <c r="C151" s="407" t="s">
        <v>490</v>
      </c>
      <c r="D151" s="197" t="e">
        <f>SUM(B140:B144)+SUM(B146:B148)</f>
        <v>#VALUE!</v>
      </c>
      <c r="E151" s="363" t="s">
        <v>492</v>
      </c>
      <c r="F151" s="281" t="e">
        <f>IF((F145+F143+F144+(B143+B144+B147+B148+B145)*0.2)&lt;0.5,0,F145+F144+F143+(B143+B144+B147+B148+B145)*0.2)</f>
        <v>#VALUE!</v>
      </c>
      <c r="G151" s="79"/>
      <c r="H151" s="79"/>
      <c r="I151" s="79"/>
      <c r="J151" s="79"/>
      <c r="K151" s="79"/>
      <c r="L151" s="79"/>
      <c r="M151" s="79"/>
      <c r="N151" s="79"/>
      <c r="O151" s="80"/>
    </row>
    <row r="152" spans="1:15" s="378" customFormat="1">
      <c r="A152" s="363"/>
      <c r="B152" s="197"/>
      <c r="C152" s="150"/>
      <c r="D152" s="197"/>
      <c r="E152" s="407" t="s">
        <v>574</v>
      </c>
      <c r="F152" s="281" t="e">
        <f>IF((F145+F143+F144+(B143+B144+B146+B147+B148)*0.2)&lt;0.5,0,F145+F144+F143+(B143+B144+B146+B147+B148)*0.2)</f>
        <v>#VALUE!</v>
      </c>
      <c r="G152" s="79"/>
      <c r="H152" s="79"/>
      <c r="I152" s="79"/>
      <c r="J152" s="79"/>
      <c r="K152" s="79"/>
      <c r="L152" s="79"/>
      <c r="M152" s="79"/>
      <c r="N152" s="79"/>
      <c r="O152" s="80"/>
    </row>
    <row r="153" spans="1:15" s="174" customFormat="1">
      <c r="A153" s="363" t="s">
        <v>491</v>
      </c>
      <c r="B153" s="197">
        <f>B140+B141+B142</f>
        <v>746.25</v>
      </c>
      <c r="C153" s="150"/>
      <c r="D153" s="197"/>
      <c r="E153" s="363" t="s">
        <v>493</v>
      </c>
      <c r="F153" s="281">
        <f>IF((F143+F144+F145)&lt;0.5,0,(F143+F145+F144))</f>
        <v>149.25138999999999</v>
      </c>
      <c r="G153" s="79"/>
      <c r="H153" s="79"/>
      <c r="I153" s="79"/>
      <c r="J153" s="79"/>
      <c r="K153" s="79"/>
      <c r="L153" s="79"/>
      <c r="M153" s="79"/>
      <c r="N153" s="79"/>
      <c r="O153" s="80"/>
    </row>
    <row r="154" spans="1:15">
      <c r="A154" s="338" t="s">
        <v>212</v>
      </c>
      <c r="B154" s="219" t="b">
        <v>0</v>
      </c>
      <c r="C154" s="155"/>
      <c r="D154" s="152"/>
      <c r="E154" s="155"/>
      <c r="F154" s="152"/>
      <c r="G154" s="79"/>
      <c r="H154" s="79"/>
      <c r="I154" s="79"/>
      <c r="J154" s="79"/>
      <c r="K154" s="79"/>
      <c r="L154" s="79"/>
      <c r="M154" s="79"/>
      <c r="N154" s="79"/>
      <c r="O154" s="80"/>
    </row>
    <row r="155" spans="1:15" s="174" customFormat="1" ht="16.5" thickBot="1">
      <c r="A155" s="101"/>
      <c r="B155" s="220"/>
      <c r="C155" s="283"/>
      <c r="D155" s="282"/>
      <c r="E155" s="283"/>
      <c r="F155" s="282"/>
      <c r="G155" s="79"/>
      <c r="H155" s="79"/>
      <c r="I155" s="79"/>
      <c r="J155" s="79"/>
      <c r="K155" s="79"/>
      <c r="L155" s="79"/>
      <c r="M155" s="79"/>
      <c r="N155" s="79"/>
      <c r="O155" s="80"/>
    </row>
    <row r="156" spans="1:15" ht="32.25" thickBot="1">
      <c r="A156" s="107" t="s">
        <v>163</v>
      </c>
      <c r="B156" s="108"/>
      <c r="C156" s="109" t="s">
        <v>154</v>
      </c>
      <c r="D156" s="108"/>
      <c r="E156" s="175">
        <f>IFERROR(SUM(E158:E174),99)</f>
        <v>99</v>
      </c>
      <c r="F156" s="109" t="s">
        <v>155</v>
      </c>
      <c r="G156" s="110"/>
      <c r="H156" s="175">
        <f>IFERROR(SUM(H158:H174),99)</f>
        <v>0</v>
      </c>
      <c r="I156" s="109" t="s">
        <v>156</v>
      </c>
      <c r="J156" s="110"/>
      <c r="K156" s="175">
        <f>IFERROR(SUM(K158:K174),1)</f>
        <v>0</v>
      </c>
      <c r="L156" s="109" t="s">
        <v>157</v>
      </c>
      <c r="M156" s="108"/>
      <c r="N156" s="188">
        <f>IFERROR(SUM(N158:N174),1)</f>
        <v>0</v>
      </c>
      <c r="O156" s="111"/>
    </row>
    <row r="157" spans="1:15" ht="16.5" thickBot="1">
      <c r="A157" s="112" t="s">
        <v>57</v>
      </c>
      <c r="B157" s="113"/>
      <c r="C157" s="114" t="s">
        <v>158</v>
      </c>
      <c r="D157" s="115" t="s">
        <v>159</v>
      </c>
      <c r="E157" s="116" t="s">
        <v>160</v>
      </c>
      <c r="F157" s="114" t="s">
        <v>158</v>
      </c>
      <c r="G157" s="115" t="s">
        <v>161</v>
      </c>
      <c r="H157" s="116" t="s">
        <v>160</v>
      </c>
      <c r="I157" s="114" t="s">
        <v>158</v>
      </c>
      <c r="J157" s="115" t="s">
        <v>161</v>
      </c>
      <c r="K157" s="116" t="s">
        <v>160</v>
      </c>
      <c r="L157" s="189" t="s">
        <v>158</v>
      </c>
      <c r="M157" s="190" t="s">
        <v>161</v>
      </c>
      <c r="N157" s="190" t="s">
        <v>160</v>
      </c>
      <c r="O157" s="191"/>
    </row>
    <row r="158" spans="1:15">
      <c r="A158" s="117" t="s">
        <v>58</v>
      </c>
      <c r="B158" s="118" t="s">
        <v>85</v>
      </c>
      <c r="C158" s="119"/>
      <c r="D158" s="120" t="str">
        <f>'extractie-npr-pp-rente'!G6</f>
        <v xml:space="preserve"> </v>
      </c>
      <c r="E158" s="177" t="str">
        <f>IF(AND(C158="",OR(D158=" ",D158="",D158=0)),"",IF(ABS(C158-D158)&lt;1,0,1))</f>
        <v/>
      </c>
      <c r="F158" s="121"/>
      <c r="G158" s="120">
        <f>'extractie-npr-pp-rente'!H6</f>
        <v>0</v>
      </c>
      <c r="H158" s="177" t="str">
        <f>IF(AND(F158="",OR(G158=" ",G158="",G158=0)),"",IF(ABS(F158-G158)&lt;1,0,1))</f>
        <v/>
      </c>
      <c r="I158" s="119"/>
      <c r="J158" s="120">
        <f>'extractie-npr-pp-rente'!I6</f>
        <v>0</v>
      </c>
      <c r="K158" s="177" t="str">
        <f>IF(AND(I158="",OR(J158=" ",J158="",J158=0)),"",IF(ABS(I158-J158)&lt;1,0,1))</f>
        <v/>
      </c>
      <c r="L158" s="119"/>
      <c r="M158" s="120"/>
      <c r="N158" s="177" t="str">
        <f>IF(AND(L158="",OR(M158=" ",M158="",M158=0)),"",IF(ABS(L158-M158)&lt;1,0,1))</f>
        <v/>
      </c>
      <c r="O158" s="113"/>
    </row>
    <row r="159" spans="1:15">
      <c r="A159" s="117"/>
      <c r="B159" s="118" t="s">
        <v>86</v>
      </c>
      <c r="C159" s="117"/>
      <c r="D159" s="89" t="str">
        <f>'extractie-npr-pp-rente'!G7</f>
        <v xml:space="preserve"> </v>
      </c>
      <c r="E159" s="177" t="str">
        <f t="shared" ref="E159:E166" si="25">IF(AND(C159="",OR(D159=" ",D159="",D159=0)),"",IF(ABS(C159-D159)&lt;1,0,1))</f>
        <v/>
      </c>
      <c r="F159" s="123"/>
      <c r="G159" s="89">
        <f>'extractie-npr-pp-rente'!H7</f>
        <v>0</v>
      </c>
      <c r="H159" s="177" t="str">
        <f t="shared" ref="H159:H167" si="26">IF(AND(F159="",OR(G159=" ",G159="",G159=0)),"",IF(ABS(F159-G159)&lt;1,0,1))</f>
        <v/>
      </c>
      <c r="I159" s="117"/>
      <c r="J159" s="89">
        <f>'extractie-npr-pp-rente'!I7</f>
        <v>0</v>
      </c>
      <c r="K159" s="177" t="str">
        <f t="shared" ref="K159:K167" si="27">IF(AND(I159="",OR(J159=" ",J159="",J159=0)),"",IF(ABS(I159-J159)&lt;1,0,1))</f>
        <v/>
      </c>
      <c r="L159" s="117"/>
      <c r="M159" s="89"/>
      <c r="N159" s="177" t="str">
        <f t="shared" ref="N159:N167" si="28">IF(AND(L159="",OR(M159=" ",M159="",M159=0)),"",IF(ABS(L159-M159)&lt;1,0,1))</f>
        <v/>
      </c>
      <c r="O159" s="118"/>
    </row>
    <row r="160" spans="1:15">
      <c r="A160" s="117"/>
      <c r="B160" s="118" t="s">
        <v>87</v>
      </c>
      <c r="C160" s="117"/>
      <c r="D160" s="89" t="str">
        <f>'extractie-npr-pp-rente'!G8</f>
        <v xml:space="preserve"> </v>
      </c>
      <c r="E160" s="177" t="str">
        <f t="shared" si="25"/>
        <v/>
      </c>
      <c r="F160" s="123"/>
      <c r="G160" s="89">
        <f>'extractie-npr-pp-rente'!H8</f>
        <v>0</v>
      </c>
      <c r="H160" s="177" t="str">
        <f t="shared" si="26"/>
        <v/>
      </c>
      <c r="I160" s="117"/>
      <c r="J160" s="89">
        <f>'extractie-npr-pp-rente'!I8</f>
        <v>0</v>
      </c>
      <c r="K160" s="177" t="str">
        <f t="shared" si="27"/>
        <v/>
      </c>
      <c r="L160" s="117"/>
      <c r="M160" s="89"/>
      <c r="N160" s="177" t="str">
        <f t="shared" si="28"/>
        <v/>
      </c>
      <c r="O160" s="118"/>
    </row>
    <row r="161" spans="1:15">
      <c r="A161" s="117"/>
      <c r="B161" s="118" t="s">
        <v>88</v>
      </c>
      <c r="C161" s="117"/>
      <c r="D161" s="89" t="str">
        <f>'extractie-npr-pp-rente'!G9</f>
        <v xml:space="preserve"> </v>
      </c>
      <c r="E161" s="177" t="str">
        <f t="shared" si="25"/>
        <v/>
      </c>
      <c r="F161" s="123"/>
      <c r="G161" s="89">
        <f>'extractie-npr-pp-rente'!H9</f>
        <v>0</v>
      </c>
      <c r="H161" s="177" t="str">
        <f t="shared" si="26"/>
        <v/>
      </c>
      <c r="I161" s="117"/>
      <c r="J161" s="89">
        <f>'extractie-npr-pp-rente'!I9</f>
        <v>0</v>
      </c>
      <c r="K161" s="177" t="str">
        <f t="shared" si="27"/>
        <v/>
      </c>
      <c r="L161" s="117"/>
      <c r="M161" s="89"/>
      <c r="N161" s="177" t="str">
        <f t="shared" si="28"/>
        <v/>
      </c>
      <c r="O161" s="118"/>
    </row>
    <row r="162" spans="1:15">
      <c r="A162" s="117" t="s">
        <v>59</v>
      </c>
      <c r="B162" s="118" t="s">
        <v>85</v>
      </c>
      <c r="C162" s="126"/>
      <c r="D162" s="89" t="str">
        <f>'extractie-npr-pp-rente'!G10</f>
        <v xml:space="preserve"> </v>
      </c>
      <c r="E162" s="177" t="str">
        <f t="shared" si="25"/>
        <v/>
      </c>
      <c r="F162" s="123" t="str">
        <f>IF(TPPaanwezig,67,"")</f>
        <v/>
      </c>
      <c r="G162" s="89">
        <f>'extractie-npr-pp-rente'!H10</f>
        <v>0</v>
      </c>
      <c r="H162" s="177" t="str">
        <f t="shared" si="26"/>
        <v/>
      </c>
      <c r="I162" s="117"/>
      <c r="J162" s="89">
        <f>'extractie-npr-pp-rente'!I10</f>
        <v>0</v>
      </c>
      <c r="K162" s="177" t="str">
        <f t="shared" si="27"/>
        <v/>
      </c>
      <c r="L162" s="117"/>
      <c r="M162" s="89"/>
      <c r="N162" s="177" t="str">
        <f t="shared" si="28"/>
        <v/>
      </c>
      <c r="O162" s="118"/>
    </row>
    <row r="163" spans="1:15">
      <c r="A163" s="117"/>
      <c r="B163" s="118" t="s">
        <v>86</v>
      </c>
      <c r="C163" s="117"/>
      <c r="D163" s="89" t="str">
        <f>'extractie-npr-pp-rente'!G11</f>
        <v xml:space="preserve"> </v>
      </c>
      <c r="E163" s="177" t="str">
        <f t="shared" si="25"/>
        <v/>
      </c>
      <c r="F163" s="123" t="str">
        <f>IF(TPPaanwezig,0,"")</f>
        <v/>
      </c>
      <c r="G163" s="89">
        <f>'extractie-npr-pp-rente'!H11</f>
        <v>0</v>
      </c>
      <c r="H163" s="177" t="str">
        <f t="shared" si="26"/>
        <v/>
      </c>
      <c r="I163" s="117"/>
      <c r="J163" s="89">
        <f>'extractie-npr-pp-rente'!I11</f>
        <v>0</v>
      </c>
      <c r="K163" s="177" t="str">
        <f t="shared" si="27"/>
        <v/>
      </c>
      <c r="L163" s="117"/>
      <c r="M163" s="89"/>
      <c r="N163" s="177" t="str">
        <f t="shared" si="28"/>
        <v/>
      </c>
      <c r="O163" s="118"/>
    </row>
    <row r="164" spans="1:15">
      <c r="A164" s="117" t="s">
        <v>70</v>
      </c>
      <c r="B164" s="118" t="s">
        <v>87</v>
      </c>
      <c r="C164" s="117" t="str">
        <f>IF(TPPaanwezig,67,"")</f>
        <v/>
      </c>
      <c r="D164" s="89" t="str">
        <f>'extractie-npr-pp-rente'!G12</f>
        <v xml:space="preserve"> </v>
      </c>
      <c r="E164" s="177" t="str">
        <f t="shared" si="25"/>
        <v/>
      </c>
      <c r="F164" s="123"/>
      <c r="G164" s="89">
        <f>'extractie-npr-pp-rente'!H12</f>
        <v>0</v>
      </c>
      <c r="H164" s="177" t="str">
        <f t="shared" si="26"/>
        <v/>
      </c>
      <c r="I164" s="117"/>
      <c r="J164" s="89">
        <f>'extractie-npr-pp-rente'!I12</f>
        <v>0</v>
      </c>
      <c r="K164" s="177" t="str">
        <f t="shared" si="27"/>
        <v/>
      </c>
      <c r="L164" s="117"/>
      <c r="M164" s="89"/>
      <c r="N164" s="177" t="str">
        <f t="shared" si="28"/>
        <v/>
      </c>
      <c r="O164" s="118"/>
    </row>
    <row r="165" spans="1:15">
      <c r="A165" s="117"/>
      <c r="B165" s="118" t="s">
        <v>88</v>
      </c>
      <c r="C165" s="117" t="str">
        <f>IF(TPPaanwezig,0,"")</f>
        <v/>
      </c>
      <c r="D165" s="89" t="str">
        <f>'extractie-npr-pp-rente'!G13</f>
        <v xml:space="preserve"> </v>
      </c>
      <c r="E165" s="177" t="str">
        <f t="shared" si="25"/>
        <v/>
      </c>
      <c r="F165" s="123"/>
      <c r="G165" s="89">
        <f>'extractie-npr-pp-rente'!H13</f>
        <v>0</v>
      </c>
      <c r="H165" s="177" t="str">
        <f t="shared" si="26"/>
        <v/>
      </c>
      <c r="I165" s="117"/>
      <c r="J165" s="89">
        <f>'extractie-npr-pp-rente'!I13</f>
        <v>0</v>
      </c>
      <c r="K165" s="177" t="str">
        <f t="shared" si="27"/>
        <v/>
      </c>
      <c r="L165" s="117"/>
      <c r="M165" s="89"/>
      <c r="N165" s="177" t="str">
        <f t="shared" si="28"/>
        <v/>
      </c>
      <c r="O165" s="118"/>
    </row>
    <row r="166" spans="1:15">
      <c r="A166" s="117" t="s">
        <v>79</v>
      </c>
      <c r="B166" s="118" t="s">
        <v>90</v>
      </c>
      <c r="C166" s="117"/>
      <c r="D166" s="89" t="str">
        <f>'extractie-npr-pp-rente'!G14</f>
        <v xml:space="preserve"> </v>
      </c>
      <c r="E166" s="177" t="str">
        <f t="shared" si="25"/>
        <v/>
      </c>
      <c r="F166" s="123"/>
      <c r="G166" s="89">
        <f>'extractie-npr-pp-rente'!H14</f>
        <v>0</v>
      </c>
      <c r="H166" s="177" t="str">
        <f>IF(AND(F166="",OR(G166=" ",G166="",G166=0)),"",IF(ABS(F166-G166)&lt;1,0,1))</f>
        <v/>
      </c>
      <c r="I166" s="117"/>
      <c r="J166" s="89">
        <f>'extractie-npr-pp-rente'!I14</f>
        <v>0</v>
      </c>
      <c r="K166" s="177" t="str">
        <f t="shared" si="27"/>
        <v/>
      </c>
      <c r="L166" s="117"/>
      <c r="M166" s="89"/>
      <c r="N166" s="177" t="str">
        <f t="shared" si="28"/>
        <v/>
      </c>
      <c r="O166" s="118"/>
    </row>
    <row r="167" spans="1:15">
      <c r="A167" s="117"/>
      <c r="B167" s="118" t="s">
        <v>91</v>
      </c>
      <c r="C167" s="117"/>
      <c r="D167" s="89" t="str">
        <f>'extractie-npr-pp-rente'!G15</f>
        <v xml:space="preserve"> </v>
      </c>
      <c r="E167" s="177" t="str">
        <f>IF(AND(C167="",OR(D167=" ",D167="",D167=0)),"",IF(ABS(C167-D167)&lt;1,0,1))</f>
        <v/>
      </c>
      <c r="F167" s="123"/>
      <c r="G167" s="89">
        <f>'extractie-npr-pp-rente'!H15</f>
        <v>0</v>
      </c>
      <c r="H167" s="177" t="str">
        <f t="shared" si="26"/>
        <v/>
      </c>
      <c r="I167" s="117"/>
      <c r="J167" s="89">
        <f>'extractie-npr-pp-rente'!I15</f>
        <v>0</v>
      </c>
      <c r="K167" s="177" t="str">
        <f t="shared" si="27"/>
        <v/>
      </c>
      <c r="L167" s="117"/>
      <c r="M167" s="89"/>
      <c r="N167" s="177" t="str">
        <f t="shared" si="28"/>
        <v/>
      </c>
      <c r="O167" s="118"/>
    </row>
    <row r="168" spans="1:15">
      <c r="A168" s="117" t="s">
        <v>71</v>
      </c>
      <c r="B168" s="118"/>
      <c r="C168" s="117" t="e">
        <f>IF(VerzekerdPP&lt;1,"",IF(TPPaanwezig,"","X"))</f>
        <v>#VALUE!</v>
      </c>
      <c r="D168" s="89" t="str">
        <f>'extractie-npr-pp-rente'!G16</f>
        <v>X</v>
      </c>
      <c r="E168" s="177">
        <f>IFERROR(IF(OR(EXACT(C168,D168),AND(C168="",OR(D168=0,D168=" "))),0,IF(ABS(C168-D168)&lt;1,0,1)),1)</f>
        <v>1</v>
      </c>
      <c r="F168" s="123"/>
      <c r="G168" s="89">
        <f>'extractie-npr-pp-rente'!H16</f>
        <v>0</v>
      </c>
      <c r="H168" s="177">
        <f>IFERROR(IF(OR(EXACT(F168,G168),AND(F168="",OR(G168=0,G168=" "))),0,IF(ABS(F168-G168)&lt;1,0,1)),1)</f>
        <v>0</v>
      </c>
      <c r="I168" s="117"/>
      <c r="J168" s="89">
        <f>'extractie-npr-pp-rente'!I16</f>
        <v>0</v>
      </c>
      <c r="K168" s="177">
        <f>IFERROR(IF(OR(EXACT(I168,J168),AND(I168="",OR(J168=0,J168=" "))),0,IF(ABS(I168-J168)&lt;1,0,1)),1)</f>
        <v>0</v>
      </c>
      <c r="L168" s="117"/>
      <c r="M168" s="89"/>
      <c r="N168" s="177">
        <f>IFERROR(IF(OR(EXACT(L168,M168),AND(L168="",OR(M168=0,M168=" "))),0,IF(ABS(L168-M168)&lt;1,0,1)),1)</f>
        <v>0</v>
      </c>
      <c r="O168" s="118"/>
    </row>
    <row r="169" spans="1:15">
      <c r="A169" s="127"/>
      <c r="B169" s="118"/>
      <c r="C169" s="117"/>
      <c r="D169" s="89" t="s">
        <v>89</v>
      </c>
      <c r="E169" s="177" t="str">
        <f t="shared" ref="E169:E175" si="29">IF(AND(C169="",OR(D169=" ",D169="")),"",IF(ABS(C169-D169)&lt;1,0,1))</f>
        <v/>
      </c>
      <c r="F169" s="117"/>
      <c r="G169" s="89"/>
      <c r="H169" s="118" t="str">
        <f t="shared" ref="H169:H175" si="30">IF(AND(F169="",OR(G169=" ",G169="")),"",IF(ABS(F169-G169)&lt;1,0,1))</f>
        <v/>
      </c>
      <c r="I169" s="117"/>
      <c r="J169" s="89"/>
      <c r="K169" s="118" t="str">
        <f t="shared" ref="K169:K175" si="31">IF(AND(I169="",OR(J169=" ",J169="")),"",IF(ABS(I169-J169)&lt;1,0,1))</f>
        <v/>
      </c>
      <c r="L169" s="117"/>
      <c r="M169" s="89"/>
      <c r="N169" s="118"/>
      <c r="O169" s="118"/>
    </row>
    <row r="170" spans="1:15">
      <c r="A170" s="127" t="s">
        <v>77</v>
      </c>
      <c r="B170" s="118" t="s">
        <v>72</v>
      </c>
      <c r="C170" s="117"/>
      <c r="D170" s="89" t="str">
        <f>'extractie-npr-pp-rente'!G23</f>
        <v xml:space="preserve"> </v>
      </c>
      <c r="E170" s="177" t="str">
        <f>IF(OR(EXACT(C170,D170),AND(C170="",D170=" ")),"",IF(ABS(C170-D170)&lt;1,0,1))</f>
        <v/>
      </c>
      <c r="F170" s="129"/>
      <c r="G170" s="89">
        <f>'extractie-npr-pp-rente'!H23</f>
        <v>0</v>
      </c>
      <c r="H170" s="177">
        <f>IF(OR(EXACT(F170,G170),AND(F170="",G170=" ")),"",IF(ABS(F170-G170)&lt;1,0,1))</f>
        <v>0</v>
      </c>
      <c r="I170" s="117"/>
      <c r="J170" s="89">
        <f>'extractie-npr-pp-rente'!I23</f>
        <v>0</v>
      </c>
      <c r="K170" s="177">
        <f>IF(OR(EXACT(I170,J170),AND(I170="",J170=" ")),"",IF(ABS(I170-J170)&lt;1,0,1))</f>
        <v>0</v>
      </c>
      <c r="L170" s="117"/>
      <c r="M170" s="89">
        <f>'extractie-npr-pp-rente'!J23</f>
        <v>0</v>
      </c>
      <c r="N170" s="177">
        <f>IF(OR(EXACT(L170,M170),AND(L170="",M170=" ")),"",IF(ABS(L170-M170)&lt;1,0,1))</f>
        <v>0</v>
      </c>
      <c r="O170" s="118"/>
    </row>
    <row r="171" spans="1:15">
      <c r="A171" s="127"/>
      <c r="B171" s="118" t="s">
        <v>73</v>
      </c>
      <c r="C171" s="159" t="e">
        <f>VerzekerdPP</f>
        <v>#VALUE!</v>
      </c>
      <c r="D171" s="89">
        <f>'extractie-npr-pp-rente'!G24</f>
        <v>3152</v>
      </c>
      <c r="E171" s="177" t="e">
        <f>IF(AND(C171="",OR(D171=" ",D171="",D171=0)),"",IF(ABS(C171-D171)&lt;marge,0,1))</f>
        <v>#VALUE!</v>
      </c>
      <c r="F171" s="337" t="str">
        <f>IF(TPPaanwezig,D151,"")</f>
        <v/>
      </c>
      <c r="G171" s="89">
        <f>'extractie-npr-pp-rente'!H24</f>
        <v>0</v>
      </c>
      <c r="H171" s="177" t="str">
        <f>IF(AND(F171="",OR(G171=" ",G171="",G171=0)),"",IF(ABS(F171-G171)&lt;1,0,1))</f>
        <v/>
      </c>
      <c r="I171" s="117"/>
      <c r="J171" s="89">
        <f>'extractie-npr-pp-rente'!I24</f>
        <v>0</v>
      </c>
      <c r="K171" s="177" t="str">
        <f>IF(AND(I171="",OR(J171=" ",J171="",J171=0)),"",IF(ABS(I171-J171)&lt;1,0,1))</f>
        <v/>
      </c>
      <c r="L171" s="117"/>
      <c r="M171" s="89">
        <f>'extractie-npr-pp-rente'!J24</f>
        <v>0</v>
      </c>
      <c r="N171" s="177">
        <f t="shared" ref="N171:N174" si="32">IF(OR(EXACT(L171,M171),AND(L171="",M171=" ")),"",IF(ABS(L171-M171)&lt;1,0,1))</f>
        <v>0</v>
      </c>
      <c r="O171" s="118"/>
    </row>
    <row r="172" spans="1:15">
      <c r="A172" s="127"/>
      <c r="B172" s="118" t="s">
        <v>74</v>
      </c>
      <c r="C172" s="159">
        <f>OpgebouwdPP</f>
        <v>746.25</v>
      </c>
      <c r="D172" s="89">
        <f>'extractie-npr-pp-rente'!G25</f>
        <v>746</v>
      </c>
      <c r="E172" s="177">
        <f>IF(AND(C172="",OR(D172=" ",D172="",D172=0)),"",IF(ABS(C172-D172)&lt;marge,0,1))</f>
        <v>0</v>
      </c>
      <c r="F172" s="337" t="str">
        <f>IF(TPPaanwezig,B138,"")</f>
        <v/>
      </c>
      <c r="G172" s="89">
        <f>'extractie-npr-pp-rente'!H25</f>
        <v>0</v>
      </c>
      <c r="H172" s="177" t="str">
        <f t="shared" ref="H172:H174" si="33">IF(AND(F172="",OR(G172=" ",G172="",G172=0)),"",IF(ABS(F172-G172)&lt;1,0,1))</f>
        <v/>
      </c>
      <c r="I172" s="117"/>
      <c r="J172" s="89">
        <f>'extractie-npr-pp-rente'!I25</f>
        <v>0</v>
      </c>
      <c r="K172" s="177" t="str">
        <f t="shared" ref="K172:K174" si="34">IF(AND(I172="",OR(J172=" ",J172="",J172=0)),"",IF(ABS(I172-J172)&lt;1,0,1))</f>
        <v/>
      </c>
      <c r="L172" s="117"/>
      <c r="M172" s="89">
        <f>'extractie-npr-pp-rente'!J25</f>
        <v>0</v>
      </c>
      <c r="N172" s="177">
        <f t="shared" si="32"/>
        <v>0</v>
      </c>
      <c r="O172" s="118"/>
    </row>
    <row r="173" spans="1:15">
      <c r="A173" s="127"/>
      <c r="B173" s="118" t="s">
        <v>75</v>
      </c>
      <c r="C173" s="159" t="e">
        <f>VerzekerdPP_na_pens</f>
        <v>#VALUE!</v>
      </c>
      <c r="D173" s="89">
        <f>'extractie-npr-pp-rente'!G26</f>
        <v>3152</v>
      </c>
      <c r="E173" s="177" t="e">
        <f>IF(AND(C173="",OR(D173=" ",D173="",D173=0)),"",IF(ABS(C173-D173)&lt;marge,0,1))</f>
        <v>#VALUE!</v>
      </c>
      <c r="F173" s="337" t="str">
        <f>IF(TPPaanwezig,D151,"")</f>
        <v/>
      </c>
      <c r="G173" s="89">
        <f>'extractie-npr-pp-rente'!H26</f>
        <v>0</v>
      </c>
      <c r="H173" s="177" t="str">
        <f t="shared" si="33"/>
        <v/>
      </c>
      <c r="I173" s="117"/>
      <c r="J173" s="89">
        <f>'extractie-npr-pp-rente'!I26</f>
        <v>0</v>
      </c>
      <c r="K173" s="177" t="str">
        <f t="shared" si="34"/>
        <v/>
      </c>
      <c r="L173" s="117"/>
      <c r="M173" s="89">
        <f>'extractie-npr-pp-rente'!J26</f>
        <v>0</v>
      </c>
      <c r="N173" s="177">
        <f t="shared" si="32"/>
        <v>0</v>
      </c>
      <c r="O173" s="118"/>
    </row>
    <row r="174" spans="1:15">
      <c r="A174" s="127"/>
      <c r="B174" s="118" t="s">
        <v>76</v>
      </c>
      <c r="C174" s="159">
        <f>OpgebouwdPP</f>
        <v>746.25</v>
      </c>
      <c r="D174" s="89">
        <f>'extractie-npr-pp-rente'!G27</f>
        <v>746</v>
      </c>
      <c r="E174" s="177">
        <f>IF(AND(C174="",OR(D174=" ",D174="",D174=0)),"",IF(ABS(C174-D174)&lt;marge,0,1))</f>
        <v>0</v>
      </c>
      <c r="F174" s="159" t="str">
        <f>IF(TPPaanwezig,PP_middelloon_0+PP_middelloon_67_0,"")</f>
        <v/>
      </c>
      <c r="G174" s="89">
        <f>'extractie-npr-pp-rente'!H27</f>
        <v>0</v>
      </c>
      <c r="H174" s="177" t="str">
        <f t="shared" si="33"/>
        <v/>
      </c>
      <c r="I174" s="117"/>
      <c r="J174" s="89">
        <f>'extractie-npr-pp-rente'!I27</f>
        <v>0</v>
      </c>
      <c r="K174" s="177" t="str">
        <f t="shared" si="34"/>
        <v/>
      </c>
      <c r="L174" s="117"/>
      <c r="M174" s="89">
        <f>'extractie-npr-pp-rente'!J27</f>
        <v>0</v>
      </c>
      <c r="N174" s="177">
        <f t="shared" si="32"/>
        <v>0</v>
      </c>
      <c r="O174" s="118"/>
    </row>
    <row r="175" spans="1:15" ht="16.5" thickBot="1">
      <c r="A175" s="127"/>
      <c r="B175" s="118"/>
      <c r="C175" s="117"/>
      <c r="D175" s="89"/>
      <c r="E175" s="177" t="str">
        <f t="shared" si="29"/>
        <v/>
      </c>
      <c r="F175" s="117"/>
      <c r="G175" s="89"/>
      <c r="H175" s="118" t="str">
        <f t="shared" si="30"/>
        <v/>
      </c>
      <c r="I175" s="117"/>
      <c r="J175" s="89"/>
      <c r="K175" s="118" t="str">
        <f t="shared" si="31"/>
        <v/>
      </c>
      <c r="L175" s="131"/>
      <c r="M175" s="133"/>
      <c r="N175" s="132" t="str">
        <f t="shared" ref="N175" si="35">IF(AND(L175="",OR(M175=" ",M175="")),"",IF(ABS(L175-M175)&lt;1,0,1))</f>
        <v/>
      </c>
      <c r="O175" s="118"/>
    </row>
    <row r="176" spans="1:15" ht="32.25" thickBot="1">
      <c r="A176" s="107" t="s">
        <v>164</v>
      </c>
      <c r="B176" s="108"/>
      <c r="C176" s="109" t="s">
        <v>154</v>
      </c>
      <c r="D176" s="108"/>
      <c r="E176" s="175">
        <f>IFERROR(SUM(E178:E195),99)</f>
        <v>99</v>
      </c>
      <c r="F176" s="109" t="s">
        <v>155</v>
      </c>
      <c r="G176" s="110"/>
      <c r="H176" s="175">
        <f>IFERROR(SUM(H178:H195),99)</f>
        <v>0</v>
      </c>
      <c r="I176" s="109" t="s">
        <v>156</v>
      </c>
      <c r="J176" s="110"/>
      <c r="K176" s="175">
        <f>IFERROR(SUM(K178:K195),1)</f>
        <v>0</v>
      </c>
      <c r="L176" s="109" t="s">
        <v>157</v>
      </c>
      <c r="M176" s="108"/>
      <c r="N176" s="188">
        <f>IFERROR(SUM(N178:N195),1)</f>
        <v>0</v>
      </c>
      <c r="O176" s="394"/>
    </row>
    <row r="177" spans="1:15" ht="16.5" thickBot="1">
      <c r="A177" s="112" t="s">
        <v>57</v>
      </c>
      <c r="B177" s="113"/>
      <c r="C177" s="114" t="s">
        <v>158</v>
      </c>
      <c r="D177" s="115" t="s">
        <v>159</v>
      </c>
      <c r="E177" s="116" t="s">
        <v>160</v>
      </c>
      <c r="F177" s="114" t="s">
        <v>158</v>
      </c>
      <c r="G177" s="115" t="s">
        <v>161</v>
      </c>
      <c r="H177" s="116" t="s">
        <v>160</v>
      </c>
      <c r="I177" s="114" t="s">
        <v>158</v>
      </c>
      <c r="J177" s="115" t="s">
        <v>161</v>
      </c>
      <c r="K177" s="116" t="s">
        <v>160</v>
      </c>
      <c r="L177" s="189" t="s">
        <v>158</v>
      </c>
      <c r="M177" s="190" t="s">
        <v>161</v>
      </c>
      <c r="N177" s="190" t="s">
        <v>160</v>
      </c>
      <c r="O177" s="395"/>
    </row>
    <row r="178" spans="1:15">
      <c r="A178" s="117" t="s">
        <v>58</v>
      </c>
      <c r="B178" s="118" t="s">
        <v>85</v>
      </c>
      <c r="C178" s="119"/>
      <c r="D178" s="89" t="str">
        <f>'extractie-npr-wzp-rente'!G6</f>
        <v xml:space="preserve"> </v>
      </c>
      <c r="E178" s="176" t="str">
        <f>IF(AND(C178="",OR(D178=" ",D178="")),"",IF(ABS(C178-D178)&lt;1,0,1))</f>
        <v/>
      </c>
      <c r="F178" s="121"/>
      <c r="G178" s="120">
        <f>'extractie-npr-wzp-rente'!H6</f>
        <v>0</v>
      </c>
      <c r="H178" s="122">
        <f>IF(AND(F178="",OR(G178=" ",G178="")),"",IF(ABS(F178-G178)&lt;1,0,1))</f>
        <v>0</v>
      </c>
      <c r="I178" s="119"/>
      <c r="J178" s="89">
        <f>'extractie-npr-wzp-rente'!I6</f>
        <v>0</v>
      </c>
      <c r="K178" s="113">
        <f>IF(AND(I178="",OR(J178=" ",J178="")),"",IF(ABS(I178-J178)&lt;1,0,1))</f>
        <v>0</v>
      </c>
      <c r="L178" s="119"/>
      <c r="M178" s="89">
        <f>'extractie-npr-wzp-rente'!J6</f>
        <v>0</v>
      </c>
      <c r="N178" s="120">
        <f>IF(AND(L178="",OR(M178=" ",M178="")),"",IF(ABS(L178-M178)&lt;1,0,1))</f>
        <v>0</v>
      </c>
      <c r="O178" s="396"/>
    </row>
    <row r="179" spans="1:15">
      <c r="A179" s="117"/>
      <c r="B179" s="118" t="s">
        <v>86</v>
      </c>
      <c r="C179" s="117"/>
      <c r="D179" s="89" t="str">
        <f>'extractie-npr-wzp-rente'!G7</f>
        <v xml:space="preserve"> </v>
      </c>
      <c r="E179" s="177" t="str">
        <f t="shared" ref="E179:E191" si="36">IF(AND(C179="",OR(D179=" ",D179="")),"",IF(ABS(C179-D179)&lt;1,0,1))</f>
        <v/>
      </c>
      <c r="F179" s="123"/>
      <c r="G179" s="89">
        <f>'extractie-npr-wzp-rente'!H7</f>
        <v>0</v>
      </c>
      <c r="H179" s="125">
        <f t="shared" ref="H179:H195" si="37">IF(AND(F179="",OR(G179=" ",G179="")),"",IF(ABS(F179-G179)&lt;1,0,1))</f>
        <v>0</v>
      </c>
      <c r="I179" s="117"/>
      <c r="J179" s="89">
        <f>'extractie-npr-wzp-rente'!I7</f>
        <v>0</v>
      </c>
      <c r="K179" s="118">
        <f t="shared" ref="K179:K195" si="38">IF(AND(I179="",OR(J179=" ",J179="")),"",IF(ABS(I179-J179)&lt;1,0,1))</f>
        <v>0</v>
      </c>
      <c r="L179" s="117"/>
      <c r="M179" s="89">
        <f>'extractie-npr-wzp-rente'!J7</f>
        <v>0</v>
      </c>
      <c r="N179" s="89">
        <f t="shared" ref="N179:N195" si="39">IF(AND(L179="",OR(M179=" ",M179="")),"",IF(ABS(L179-M179)&lt;1,0,1))</f>
        <v>0</v>
      </c>
      <c r="O179" s="397"/>
    </row>
    <row r="180" spans="1:15">
      <c r="A180" s="117"/>
      <c r="B180" s="118" t="s">
        <v>87</v>
      </c>
      <c r="C180" s="117"/>
      <c r="D180" s="89" t="str">
        <f>'extractie-npr-wzp-rente'!G8</f>
        <v xml:space="preserve"> </v>
      </c>
      <c r="E180" s="177" t="str">
        <f t="shared" si="36"/>
        <v/>
      </c>
      <c r="F180" s="123"/>
      <c r="G180" s="89">
        <f>'extractie-npr-wzp-rente'!H8</f>
        <v>0</v>
      </c>
      <c r="H180" s="125">
        <f t="shared" si="37"/>
        <v>0</v>
      </c>
      <c r="I180" s="117"/>
      <c r="J180" s="89">
        <f>'extractie-npr-wzp-rente'!I8</f>
        <v>0</v>
      </c>
      <c r="K180" s="118">
        <f t="shared" si="38"/>
        <v>0</v>
      </c>
      <c r="L180" s="117"/>
      <c r="M180" s="89">
        <f>'extractie-npr-wzp-rente'!J8</f>
        <v>0</v>
      </c>
      <c r="N180" s="89">
        <f t="shared" si="39"/>
        <v>0</v>
      </c>
      <c r="O180" s="397"/>
    </row>
    <row r="181" spans="1:15">
      <c r="A181" s="117"/>
      <c r="B181" s="118" t="s">
        <v>88</v>
      </c>
      <c r="C181" s="117"/>
      <c r="D181" s="89" t="str">
        <f>'extractie-npr-wzp-rente'!G9</f>
        <v xml:space="preserve"> </v>
      </c>
      <c r="E181" s="177" t="str">
        <f t="shared" si="36"/>
        <v/>
      </c>
      <c r="F181" s="123"/>
      <c r="G181" s="89">
        <f>'extractie-npr-wzp-rente'!H9</f>
        <v>0</v>
      </c>
      <c r="H181" s="125">
        <f t="shared" si="37"/>
        <v>0</v>
      </c>
      <c r="I181" s="117"/>
      <c r="J181" s="89">
        <f>'extractie-npr-wzp-rente'!I9</f>
        <v>0</v>
      </c>
      <c r="K181" s="118">
        <f t="shared" si="38"/>
        <v>0</v>
      </c>
      <c r="L181" s="117"/>
      <c r="M181" s="89">
        <f>'extractie-npr-wzp-rente'!J9</f>
        <v>0</v>
      </c>
      <c r="N181" s="89">
        <f t="shared" si="39"/>
        <v>0</v>
      </c>
      <c r="O181" s="397"/>
    </row>
    <row r="182" spans="1:15">
      <c r="A182" s="117" t="s">
        <v>59</v>
      </c>
      <c r="B182" s="118" t="s">
        <v>85</v>
      </c>
      <c r="C182" s="126"/>
      <c r="D182" s="89" t="str">
        <f>'extractie-npr-wzp-rente'!G10</f>
        <v xml:space="preserve"> </v>
      </c>
      <c r="E182" s="177" t="str">
        <f t="shared" si="36"/>
        <v/>
      </c>
      <c r="F182" s="123"/>
      <c r="G182" s="89">
        <f>'extractie-npr-wzp-rente'!H10</f>
        <v>0</v>
      </c>
      <c r="H182" s="125">
        <f t="shared" si="37"/>
        <v>0</v>
      </c>
      <c r="I182" s="117"/>
      <c r="J182" s="89">
        <f>'extractie-npr-wzp-rente'!I10</f>
        <v>0</v>
      </c>
      <c r="K182" s="118">
        <f t="shared" si="38"/>
        <v>0</v>
      </c>
      <c r="L182" s="117"/>
      <c r="M182" s="89">
        <f>'extractie-npr-wzp-rente'!J10</f>
        <v>0</v>
      </c>
      <c r="N182" s="89">
        <f t="shared" si="39"/>
        <v>0</v>
      </c>
      <c r="O182" s="397"/>
    </row>
    <row r="183" spans="1:15">
      <c r="A183" s="117"/>
      <c r="B183" s="118" t="s">
        <v>86</v>
      </c>
      <c r="C183" s="117"/>
      <c r="D183" s="89" t="str">
        <f>'extractie-npr-wzp-rente'!G11</f>
        <v xml:space="preserve"> </v>
      </c>
      <c r="E183" s="177" t="str">
        <f t="shared" si="36"/>
        <v/>
      </c>
      <c r="F183" s="123"/>
      <c r="G183" s="89">
        <f>'extractie-npr-wzp-rente'!H11</f>
        <v>0</v>
      </c>
      <c r="H183" s="125">
        <f t="shared" si="37"/>
        <v>0</v>
      </c>
      <c r="I183" s="117"/>
      <c r="J183" s="89">
        <f>'extractie-npr-wzp-rente'!I11</f>
        <v>0</v>
      </c>
      <c r="K183" s="118">
        <f t="shared" si="38"/>
        <v>0</v>
      </c>
      <c r="L183" s="117"/>
      <c r="M183" s="89">
        <f>'extractie-npr-wzp-rente'!J11</f>
        <v>0</v>
      </c>
      <c r="N183" s="89">
        <f t="shared" si="39"/>
        <v>0</v>
      </c>
      <c r="O183" s="397"/>
    </row>
    <row r="184" spans="1:15">
      <c r="A184" s="117" t="s">
        <v>70</v>
      </c>
      <c r="B184" s="118" t="s">
        <v>87</v>
      </c>
      <c r="C184" s="117"/>
      <c r="D184" s="89" t="str">
        <f>'extractie-npr-wzp-rente'!G12</f>
        <v xml:space="preserve"> </v>
      </c>
      <c r="E184" s="177" t="str">
        <f t="shared" si="36"/>
        <v/>
      </c>
      <c r="F184" s="123"/>
      <c r="G184" s="89">
        <f>'extractie-npr-wzp-rente'!H12</f>
        <v>0</v>
      </c>
      <c r="H184" s="125">
        <f t="shared" si="37"/>
        <v>0</v>
      </c>
      <c r="I184" s="117"/>
      <c r="J184" s="89">
        <f>'extractie-npr-wzp-rente'!I12</f>
        <v>0</v>
      </c>
      <c r="K184" s="118">
        <f t="shared" si="38"/>
        <v>0</v>
      </c>
      <c r="L184" s="117"/>
      <c r="M184" s="89">
        <f>'extractie-npr-wzp-rente'!J12</f>
        <v>0</v>
      </c>
      <c r="N184" s="89">
        <f t="shared" si="39"/>
        <v>0</v>
      </c>
      <c r="O184" s="397"/>
    </row>
    <row r="185" spans="1:15">
      <c r="A185" s="117"/>
      <c r="B185" s="118" t="s">
        <v>88</v>
      </c>
      <c r="C185" s="117"/>
      <c r="D185" s="89" t="str">
        <f>'extractie-npr-wzp-rente'!G13</f>
        <v xml:space="preserve"> </v>
      </c>
      <c r="E185" s="177" t="str">
        <f t="shared" si="36"/>
        <v/>
      </c>
      <c r="F185" s="123"/>
      <c r="G185" s="89">
        <f>'extractie-npr-wzp-rente'!H13</f>
        <v>0</v>
      </c>
      <c r="H185" s="125">
        <f t="shared" si="37"/>
        <v>0</v>
      </c>
      <c r="I185" s="117"/>
      <c r="J185" s="89">
        <f>'extractie-npr-wzp-rente'!I13</f>
        <v>0</v>
      </c>
      <c r="K185" s="118">
        <f t="shared" si="38"/>
        <v>0</v>
      </c>
      <c r="L185" s="117"/>
      <c r="M185" s="89">
        <f>'extractie-npr-wzp-rente'!J13</f>
        <v>0</v>
      </c>
      <c r="N185" s="89">
        <f t="shared" si="39"/>
        <v>0</v>
      </c>
      <c r="O185" s="397"/>
    </row>
    <row r="186" spans="1:15">
      <c r="A186" s="117" t="s">
        <v>79</v>
      </c>
      <c r="B186" s="118" t="s">
        <v>90</v>
      </c>
      <c r="C186" s="117" t="e">
        <f>IF(VerzekerdWzP&lt;0.5,0,24)</f>
        <v>#VALUE!</v>
      </c>
      <c r="D186" s="89">
        <f>'extractie-npr-wzp-rente'!G14</f>
        <v>24</v>
      </c>
      <c r="E186" s="177" t="e">
        <f>IF(AND(C186="",OR(D186=" ",D186="")),"",IF(ABS(C186-D186)&lt;1,0,1))</f>
        <v>#VALUE!</v>
      </c>
      <c r="F186" s="123"/>
      <c r="G186" s="89">
        <f>'extractie-npr-wzp-rente'!H14</f>
        <v>0</v>
      </c>
      <c r="H186" s="125">
        <f t="shared" si="37"/>
        <v>0</v>
      </c>
      <c r="I186" s="117"/>
      <c r="J186" s="89">
        <f>'extractie-npr-wzp-rente'!I14</f>
        <v>0</v>
      </c>
      <c r="K186" s="118">
        <f t="shared" si="38"/>
        <v>0</v>
      </c>
      <c r="L186" s="117"/>
      <c r="M186" s="89">
        <f>'extractie-npr-wzp-rente'!J14</f>
        <v>0</v>
      </c>
      <c r="N186" s="89">
        <f t="shared" si="39"/>
        <v>0</v>
      </c>
      <c r="O186" s="397"/>
    </row>
    <row r="187" spans="1:15">
      <c r="A187" s="117"/>
      <c r="B187" s="118" t="s">
        <v>91</v>
      </c>
      <c r="C187" s="117">
        <v>0</v>
      </c>
      <c r="D187" s="89">
        <f>'extractie-npr-wzp-rente'!G15</f>
        <v>0</v>
      </c>
      <c r="E187" s="177">
        <f>IF(AND(C187="",OR(D187=" ",D187="")),"",IF(ABS(C187-D187)&lt;1,0,1))</f>
        <v>0</v>
      </c>
      <c r="F187" s="123"/>
      <c r="G187" s="89">
        <f>'extractie-npr-wzp-rente'!H15</f>
        <v>0</v>
      </c>
      <c r="H187" s="125">
        <f t="shared" si="37"/>
        <v>0</v>
      </c>
      <c r="I187" s="117"/>
      <c r="J187" s="89">
        <f>'extractie-npr-wzp-rente'!I15</f>
        <v>0</v>
      </c>
      <c r="K187" s="118">
        <f t="shared" si="38"/>
        <v>0</v>
      </c>
      <c r="L187" s="117"/>
      <c r="M187" s="89">
        <f>'extractie-npr-wzp-rente'!J15</f>
        <v>0</v>
      </c>
      <c r="N187" s="89">
        <f t="shared" si="39"/>
        <v>0</v>
      </c>
      <c r="O187" s="397"/>
    </row>
    <row r="188" spans="1:15">
      <c r="A188" s="117" t="s">
        <v>71</v>
      </c>
      <c r="B188" s="118"/>
      <c r="C188" s="117"/>
      <c r="D188" s="89" t="s">
        <v>89</v>
      </c>
      <c r="E188" s="177">
        <f>IFERROR(IF(OR(EXACT(C188,D188),AND(C188="",OR(D188=0,D188=" "))),0,IF(ABS(C188-D188)&lt;1,0,1)),1)</f>
        <v>0</v>
      </c>
      <c r="F188" s="123"/>
      <c r="G188" s="124"/>
      <c r="H188" s="177">
        <f>IFERROR(IF(OR(EXACT(F188,G188),AND(F188="",OR(G188=0,G188=" "))),0,IF(ABS(F188-G188)&lt;1,0,1)),1)</f>
        <v>0</v>
      </c>
      <c r="I188" s="117"/>
      <c r="J188" s="89"/>
      <c r="K188" s="177">
        <f>IFERROR(IF(OR(EXACT(I188,J188),AND(I188="",OR(J188=0,J188=" "))),0,IF(ABS(I188-J188)&lt;1,0,1)),1)</f>
        <v>0</v>
      </c>
      <c r="L188" s="117"/>
      <c r="M188" s="89"/>
      <c r="N188" s="393">
        <f>IFERROR(IF(OR(EXACT(L188,M188),AND(L188="",OR(M188=0,M188=" "))),0,IF(ABS(L188-M188)&lt;1,0,1)),1)</f>
        <v>0</v>
      </c>
      <c r="O188" s="397"/>
    </row>
    <row r="189" spans="1:15">
      <c r="A189" s="127"/>
      <c r="B189" s="118"/>
      <c r="C189" s="117"/>
      <c r="D189" s="89" t="s">
        <v>89</v>
      </c>
      <c r="E189" s="177" t="str">
        <f t="shared" si="36"/>
        <v/>
      </c>
      <c r="F189" s="117"/>
      <c r="G189" s="89"/>
      <c r="H189" s="118" t="str">
        <f t="shared" si="37"/>
        <v/>
      </c>
      <c r="I189" s="117"/>
      <c r="J189" s="89"/>
      <c r="K189" s="118" t="str">
        <f t="shared" si="38"/>
        <v/>
      </c>
      <c r="L189" s="117"/>
      <c r="M189" s="89"/>
      <c r="N189" s="89" t="str">
        <f t="shared" si="39"/>
        <v/>
      </c>
      <c r="O189" s="397"/>
    </row>
    <row r="190" spans="1:15">
      <c r="A190" s="127"/>
      <c r="B190" s="118"/>
      <c r="C190" s="117"/>
      <c r="D190" s="89"/>
      <c r="E190" s="177" t="str">
        <f t="shared" si="36"/>
        <v/>
      </c>
      <c r="F190" s="117"/>
      <c r="G190" s="89"/>
      <c r="H190" s="118" t="str">
        <f t="shared" si="37"/>
        <v/>
      </c>
      <c r="I190" s="117"/>
      <c r="J190" s="89"/>
      <c r="K190" s="118" t="str">
        <f t="shared" si="38"/>
        <v/>
      </c>
      <c r="L190" s="117"/>
      <c r="M190" s="89"/>
      <c r="N190" s="89" t="str">
        <f t="shared" si="39"/>
        <v/>
      </c>
      <c r="O190" s="397"/>
    </row>
    <row r="191" spans="1:15">
      <c r="A191" s="127" t="s">
        <v>78</v>
      </c>
      <c r="B191" s="118" t="s">
        <v>80</v>
      </c>
      <c r="C191" s="117" t="e">
        <f>IF(VerzekerdWzP=0,0,TRUE)</f>
        <v>#VALUE!</v>
      </c>
      <c r="D191" s="89" t="b">
        <f>'extractie-npr-wzp-rente'!G29</f>
        <v>1</v>
      </c>
      <c r="E191" s="177" t="e">
        <f t="shared" si="36"/>
        <v>#VALUE!</v>
      </c>
      <c r="F191" s="178"/>
      <c r="G191" s="89">
        <f>'extractie-npr-wzp-rente'!H29</f>
        <v>0</v>
      </c>
      <c r="H191" s="118">
        <f t="shared" si="37"/>
        <v>0</v>
      </c>
      <c r="I191" s="117"/>
      <c r="J191" s="89">
        <f>'extractie-npr-wzp-rente'!I29</f>
        <v>0</v>
      </c>
      <c r="K191" s="118">
        <f t="shared" si="38"/>
        <v>0</v>
      </c>
      <c r="L191" s="117"/>
      <c r="M191" s="89">
        <f>'extractie-npr-wzp-rente'!J29</f>
        <v>0</v>
      </c>
      <c r="N191" s="89">
        <f t="shared" si="39"/>
        <v>0</v>
      </c>
      <c r="O191" s="397"/>
    </row>
    <row r="192" spans="1:15">
      <c r="A192" s="127"/>
      <c r="B192" s="118" t="s">
        <v>81</v>
      </c>
      <c r="C192" s="159" t="e">
        <f>VerzekerdWzP</f>
        <v>#VALUE!</v>
      </c>
      <c r="D192" s="89">
        <f>'extractie-npr-wzp-rente'!G30</f>
        <v>630</v>
      </c>
      <c r="E192" s="177" t="e">
        <f>IF(AND(C192="",OR(D192=" ",D192="")),"",IF(ABS(C192-D192)&lt;marge,0,1))</f>
        <v>#VALUE!</v>
      </c>
      <c r="F192" s="178"/>
      <c r="G192" s="89">
        <f>'extractie-npr-wzp-rente'!H30</f>
        <v>0</v>
      </c>
      <c r="H192" s="118">
        <f t="shared" si="37"/>
        <v>0</v>
      </c>
      <c r="I192" s="117"/>
      <c r="J192" s="89">
        <f>'extractie-npr-wzp-rente'!I30</f>
        <v>0</v>
      </c>
      <c r="K192" s="118">
        <f t="shared" si="38"/>
        <v>0</v>
      </c>
      <c r="L192" s="117"/>
      <c r="M192" s="89">
        <f>'extractie-npr-wzp-rente'!J30</f>
        <v>0</v>
      </c>
      <c r="N192" s="89">
        <f t="shared" si="39"/>
        <v>0</v>
      </c>
      <c r="O192" s="397"/>
    </row>
    <row r="193" spans="1:15">
      <c r="A193" s="127"/>
      <c r="B193" s="118" t="s">
        <v>82</v>
      </c>
      <c r="C193" s="159">
        <f>OpgebouwdWzP</f>
        <v>149.25138999999999</v>
      </c>
      <c r="D193" s="89">
        <f>'extractie-npr-wzp-rente'!G31</f>
        <v>149</v>
      </c>
      <c r="E193" s="177">
        <f>IF(AND(C193="",OR(D193=" ",D193="")),"",IF(ABS(C193-D193)&lt;marge,0,1))</f>
        <v>0</v>
      </c>
      <c r="F193" s="178"/>
      <c r="G193" s="89">
        <f>'extractie-npr-wzp-rente'!H31</f>
        <v>0</v>
      </c>
      <c r="H193" s="118">
        <f t="shared" si="37"/>
        <v>0</v>
      </c>
      <c r="I193" s="117"/>
      <c r="J193" s="89">
        <f>'extractie-npr-wzp-rente'!I31</f>
        <v>0</v>
      </c>
      <c r="K193" s="118">
        <f t="shared" si="38"/>
        <v>0</v>
      </c>
      <c r="L193" s="117"/>
      <c r="M193" s="89">
        <f>'extractie-npr-wzp-rente'!J31</f>
        <v>0</v>
      </c>
      <c r="N193" s="89">
        <f t="shared" si="39"/>
        <v>0</v>
      </c>
      <c r="O193" s="397"/>
    </row>
    <row r="194" spans="1:15">
      <c r="A194" s="127"/>
      <c r="B194" s="118" t="s">
        <v>83</v>
      </c>
      <c r="C194" s="159" t="e">
        <f>VerzekerdWzPnaPens</f>
        <v>#VALUE!</v>
      </c>
      <c r="D194" s="89">
        <f>'extractie-npr-wzp-rente'!G32</f>
        <v>630</v>
      </c>
      <c r="E194" s="177" t="e">
        <f>IF(AND(C194="",OR(D194=" ",D194="")),"",IF(ABS(C194-D194)&lt;marge,0,1))</f>
        <v>#VALUE!</v>
      </c>
      <c r="F194" s="178"/>
      <c r="G194" s="89">
        <f>'extractie-npr-wzp-rente'!H32</f>
        <v>0</v>
      </c>
      <c r="H194" s="118">
        <f t="shared" si="37"/>
        <v>0</v>
      </c>
      <c r="I194" s="117"/>
      <c r="J194" s="89">
        <f>'extractie-npr-wzp-rente'!I32</f>
        <v>0</v>
      </c>
      <c r="K194" s="118">
        <f t="shared" si="38"/>
        <v>0</v>
      </c>
      <c r="L194" s="117"/>
      <c r="M194" s="89">
        <f>'extractie-npr-wzp-rente'!J32</f>
        <v>0</v>
      </c>
      <c r="N194" s="89">
        <f t="shared" si="39"/>
        <v>0</v>
      </c>
      <c r="O194" s="397"/>
    </row>
    <row r="195" spans="1:15" ht="16.5" thickBot="1">
      <c r="A195" s="154"/>
      <c r="B195" s="132" t="s">
        <v>84</v>
      </c>
      <c r="C195" s="385">
        <f>OpgebouwdWzP</f>
        <v>149.25138999999999</v>
      </c>
      <c r="D195" s="133">
        <f>'extractie-npr-wzp-rente'!G33</f>
        <v>149</v>
      </c>
      <c r="E195" s="179">
        <f>IF(AND(C195="",OR(D195=" ",D195="")),"",IF(ABS(C195-D195)&lt;marge,0,1))</f>
        <v>0</v>
      </c>
      <c r="F195" s="156"/>
      <c r="G195" s="133">
        <f>'extractie-npr-wzp-rente'!H33</f>
        <v>0</v>
      </c>
      <c r="H195" s="132">
        <f t="shared" si="37"/>
        <v>0</v>
      </c>
      <c r="I195" s="131"/>
      <c r="J195" s="133">
        <f>'extractie-npr-wzp-rente'!I33</f>
        <v>0</v>
      </c>
      <c r="K195" s="132">
        <f t="shared" si="38"/>
        <v>0</v>
      </c>
      <c r="L195" s="131"/>
      <c r="M195" s="133">
        <f>'extractie-npr-wzp-rente'!J33</f>
        <v>0</v>
      </c>
      <c r="N195" s="133">
        <f t="shared" si="39"/>
        <v>0</v>
      </c>
      <c r="O195" s="398"/>
    </row>
  </sheetData>
  <conditionalFormatting sqref="E178:E187 E189:E195">
    <cfRule type="cellIs" dxfId="139" priority="197" operator="between">
      <formula>1</formula>
      <formula>10000000000000</formula>
    </cfRule>
  </conditionalFormatting>
  <conditionalFormatting sqref="E169 E171:E175">
    <cfRule type="cellIs" dxfId="138" priority="198" operator="between">
      <formula>1</formula>
      <formula>10000000000000</formula>
    </cfRule>
  </conditionalFormatting>
  <conditionalFormatting sqref="E156">
    <cfRule type="cellIs" dxfId="137" priority="146" operator="equal">
      <formula>0</formula>
    </cfRule>
    <cfRule type="cellIs" dxfId="136" priority="147" operator="greaterThan">
      <formula>0</formula>
    </cfRule>
  </conditionalFormatting>
  <conditionalFormatting sqref="E96">
    <cfRule type="cellIs" dxfId="135" priority="154" operator="equal">
      <formula>0</formula>
    </cfRule>
    <cfRule type="cellIs" dxfId="134" priority="156" operator="greaterThan">
      <formula>0</formula>
    </cfRule>
  </conditionalFormatting>
  <conditionalFormatting sqref="E108:E110 E135 E113:E117">
    <cfRule type="cellIs" dxfId="133" priority="155" operator="between">
      <formula>1</formula>
      <formula>10000000000000</formula>
    </cfRule>
  </conditionalFormatting>
  <conditionalFormatting sqref="H96">
    <cfRule type="cellIs" dxfId="132" priority="152" operator="equal">
      <formula>0</formula>
    </cfRule>
    <cfRule type="cellIs" dxfId="131" priority="153" operator="greaterThan">
      <formula>0</formula>
    </cfRule>
  </conditionalFormatting>
  <conditionalFormatting sqref="K96">
    <cfRule type="cellIs" dxfId="130" priority="150" operator="equal">
      <formula>0</formula>
    </cfRule>
    <cfRule type="cellIs" dxfId="129" priority="151" operator="greaterThan">
      <formula>0</formula>
    </cfRule>
  </conditionalFormatting>
  <conditionalFormatting sqref="H156">
    <cfRule type="cellIs" dxfId="128" priority="144" operator="equal">
      <formula>0</formula>
    </cfRule>
    <cfRule type="cellIs" dxfId="127" priority="145" operator="greaterThan">
      <formula>0</formula>
    </cfRule>
  </conditionalFormatting>
  <conditionalFormatting sqref="K156">
    <cfRule type="cellIs" dxfId="126" priority="142" operator="equal">
      <formula>0</formula>
    </cfRule>
    <cfRule type="cellIs" dxfId="125" priority="143" operator="greaterThan">
      <formula>0</formula>
    </cfRule>
  </conditionalFormatting>
  <conditionalFormatting sqref="N156">
    <cfRule type="cellIs" dxfId="124" priority="140" operator="equal">
      <formula>0</formula>
    </cfRule>
    <cfRule type="cellIs" dxfId="123" priority="141" operator="greaterThan">
      <formula>0</formula>
    </cfRule>
  </conditionalFormatting>
  <conditionalFormatting sqref="E176">
    <cfRule type="cellIs" dxfId="122" priority="138" operator="equal">
      <formula>0</formula>
    </cfRule>
    <cfRule type="cellIs" dxfId="121" priority="139" operator="greaterThan">
      <formula>0</formula>
    </cfRule>
  </conditionalFormatting>
  <conditionalFormatting sqref="H176">
    <cfRule type="cellIs" dxfId="120" priority="136" operator="equal">
      <formula>0</formula>
    </cfRule>
    <cfRule type="cellIs" dxfId="119" priority="137" operator="greaterThan">
      <formula>0</formula>
    </cfRule>
  </conditionalFormatting>
  <conditionalFormatting sqref="K176">
    <cfRule type="cellIs" dxfId="118" priority="134" operator="equal">
      <formula>0</formula>
    </cfRule>
    <cfRule type="cellIs" dxfId="117" priority="135" operator="greaterThan">
      <formula>0</formula>
    </cfRule>
  </conditionalFormatting>
  <conditionalFormatting sqref="N176">
    <cfRule type="cellIs" dxfId="116" priority="132" operator="equal">
      <formula>0</formula>
    </cfRule>
    <cfRule type="cellIs" dxfId="115" priority="133" operator="greaterThan">
      <formula>0</formula>
    </cfRule>
  </conditionalFormatting>
  <conditionalFormatting sqref="E170">
    <cfRule type="cellIs" dxfId="114" priority="130" operator="between">
      <formula>1</formula>
      <formula>10000000000000</formula>
    </cfRule>
  </conditionalFormatting>
  <conditionalFormatting sqref="K170">
    <cfRule type="cellIs" dxfId="113" priority="128" operator="between">
      <formula>1</formula>
      <formula>10000000000000</formula>
    </cfRule>
  </conditionalFormatting>
  <conditionalFormatting sqref="H170">
    <cfRule type="cellIs" dxfId="112" priority="126" operator="between">
      <formula>1</formula>
      <formula>10000000000000</formula>
    </cfRule>
  </conditionalFormatting>
  <conditionalFormatting sqref="N96">
    <cfRule type="cellIs" dxfId="111" priority="124" operator="equal">
      <formula>0</formula>
    </cfRule>
    <cfRule type="cellIs" dxfId="110" priority="125" operator="greaterThan">
      <formula>0</formula>
    </cfRule>
  </conditionalFormatting>
  <conditionalFormatting sqref="H135 H108:H117 H124">
    <cfRule type="cellIs" dxfId="109" priority="123" operator="between">
      <formula>1</formula>
      <formula>10000000000000</formula>
    </cfRule>
  </conditionalFormatting>
  <conditionalFormatting sqref="K108:K117 K135 K129:K130 K123:K124">
    <cfRule type="cellIs" dxfId="108" priority="122" operator="between">
      <formula>1</formula>
      <formula>10000000000000</formula>
    </cfRule>
  </conditionalFormatting>
  <conditionalFormatting sqref="O98:O117 O132:O135 O126:O130 O119:O124">
    <cfRule type="cellIs" dxfId="107" priority="121" operator="between">
      <formula>1</formula>
      <formula>10000000000000</formula>
    </cfRule>
  </conditionalFormatting>
  <conditionalFormatting sqref="O125">
    <cfRule type="cellIs" dxfId="106" priority="112" operator="between">
      <formula>1</formula>
      <formula>10000000000000</formula>
    </cfRule>
  </conditionalFormatting>
  <conditionalFormatting sqref="H123">
    <cfRule type="cellIs" dxfId="105" priority="69" operator="between">
      <formula>1</formula>
      <formula>10000000000000</formula>
    </cfRule>
  </conditionalFormatting>
  <conditionalFormatting sqref="O131">
    <cfRule type="cellIs" dxfId="104" priority="113" operator="between">
      <formula>1</formula>
      <formula>10000000000000</formula>
    </cfRule>
  </conditionalFormatting>
  <conditionalFormatting sqref="O118">
    <cfRule type="cellIs" dxfId="103" priority="111" operator="between">
      <formula>1</formula>
      <formula>10000000000000</formula>
    </cfRule>
  </conditionalFormatting>
  <conditionalFormatting sqref="E100:E107">
    <cfRule type="cellIs" dxfId="102" priority="104" operator="between">
      <formula>1</formula>
      <formula>10000000000000</formula>
    </cfRule>
  </conditionalFormatting>
  <conditionalFormatting sqref="N99:N108">
    <cfRule type="cellIs" dxfId="101" priority="105" operator="between">
      <formula>1</formula>
      <formula>10000000000000</formula>
    </cfRule>
  </conditionalFormatting>
  <conditionalFormatting sqref="N98">
    <cfRule type="cellIs" dxfId="100" priority="106" operator="between">
      <formula>1</formula>
      <formula>10000000000000</formula>
    </cfRule>
  </conditionalFormatting>
  <conditionalFormatting sqref="H98">
    <cfRule type="cellIs" dxfId="99" priority="103" operator="between">
      <formula>1</formula>
      <formula>10000000000000</formula>
    </cfRule>
  </conditionalFormatting>
  <conditionalFormatting sqref="H99:H107">
    <cfRule type="cellIs" dxfId="98" priority="102" operator="between">
      <formula>1</formula>
      <formula>10000000000000</formula>
    </cfRule>
  </conditionalFormatting>
  <conditionalFormatting sqref="K98">
    <cfRule type="cellIs" dxfId="97" priority="101" operator="between">
      <formula>1</formula>
      <formula>10000000000000</formula>
    </cfRule>
  </conditionalFormatting>
  <conditionalFormatting sqref="K99:K107">
    <cfRule type="cellIs" dxfId="96" priority="100" operator="between">
      <formula>1</formula>
      <formula>10000000000000</formula>
    </cfRule>
  </conditionalFormatting>
  <conditionalFormatting sqref="E158:E167">
    <cfRule type="cellIs" dxfId="95" priority="99" operator="between">
      <formula>1</formula>
      <formula>10000000000000</formula>
    </cfRule>
  </conditionalFormatting>
  <conditionalFormatting sqref="H158:H167">
    <cfRule type="cellIs" dxfId="94" priority="98" operator="between">
      <formula>1</formula>
      <formula>10000000000000</formula>
    </cfRule>
  </conditionalFormatting>
  <conditionalFormatting sqref="K158:K167">
    <cfRule type="cellIs" dxfId="93" priority="97" operator="between">
      <formula>1</formula>
      <formula>10000000000000</formula>
    </cfRule>
  </conditionalFormatting>
  <conditionalFormatting sqref="H171:H174">
    <cfRule type="cellIs" dxfId="92" priority="96" operator="between">
      <formula>1</formula>
      <formula>10000000000000</formula>
    </cfRule>
  </conditionalFormatting>
  <conditionalFormatting sqref="K171:K174">
    <cfRule type="cellIs" dxfId="91" priority="95" operator="between">
      <formula>1</formula>
      <formula>10000000000000</formula>
    </cfRule>
  </conditionalFormatting>
  <conditionalFormatting sqref="N158:N167">
    <cfRule type="cellIs" dxfId="90" priority="94" operator="between">
      <formula>1</formula>
      <formula>10000000000000</formula>
    </cfRule>
  </conditionalFormatting>
  <conditionalFormatting sqref="N170:N174">
    <cfRule type="cellIs" dxfId="89" priority="93" operator="between">
      <formula>1</formula>
      <formula>10000000000000</formula>
    </cfRule>
  </conditionalFormatting>
  <conditionalFormatting sqref="D6">
    <cfRule type="containsBlanks" priority="90" stopIfTrue="1">
      <formula>LEN(TRIM(D6))=0</formula>
    </cfRule>
    <cfRule type="cellIs" dxfId="88" priority="91" stopIfTrue="1" operator="greaterThan">
      <formula>0</formula>
    </cfRule>
  </conditionalFormatting>
  <conditionalFormatting sqref="N123:N124">
    <cfRule type="cellIs" dxfId="87" priority="74" operator="between">
      <formula>1</formula>
      <formula>10000000000000</formula>
    </cfRule>
  </conditionalFormatting>
  <conditionalFormatting sqref="H129:H130">
    <cfRule type="cellIs" dxfId="86" priority="67" operator="between">
      <formula>1</formula>
      <formula>10000000000000</formula>
    </cfRule>
  </conditionalFormatting>
  <conditionalFormatting sqref="E128:E130">
    <cfRule type="cellIs" dxfId="85" priority="65" operator="between">
      <formula>1</formula>
      <formula>10000000000000</formula>
    </cfRule>
  </conditionalFormatting>
  <conditionalFormatting sqref="N129:N130">
    <cfRule type="cellIs" dxfId="84" priority="73" operator="between">
      <formula>1</formula>
      <formula>10000000000000</formula>
    </cfRule>
  </conditionalFormatting>
  <conditionalFormatting sqref="E121:E124">
    <cfRule type="cellIs" dxfId="83" priority="68" operator="between">
      <formula>1</formula>
      <formula>10000000000000</formula>
    </cfRule>
  </conditionalFormatting>
  <conditionalFormatting sqref="E131">
    <cfRule type="cellIs" dxfId="82" priority="47" operator="between">
      <formula>1</formula>
      <formula>10000000000000</formula>
    </cfRule>
  </conditionalFormatting>
  <conditionalFormatting sqref="E134">
    <cfRule type="cellIs" dxfId="81" priority="64" operator="between">
      <formula>1</formula>
      <formula>10000000000000</formula>
    </cfRule>
  </conditionalFormatting>
  <conditionalFormatting sqref="E118">
    <cfRule type="cellIs" dxfId="80" priority="62" operator="between">
      <formula>1</formula>
      <formula>10000000000000</formula>
    </cfRule>
  </conditionalFormatting>
  <conditionalFormatting sqref="E125">
    <cfRule type="cellIs" dxfId="79" priority="61" operator="between">
      <formula>1</formula>
      <formula>10000000000000</formula>
    </cfRule>
  </conditionalFormatting>
  <conditionalFormatting sqref="H118">
    <cfRule type="cellIs" dxfId="78" priority="57" operator="between">
      <formula>1</formula>
      <formula>10000000000000</formula>
    </cfRule>
  </conditionalFormatting>
  <conditionalFormatting sqref="H125">
    <cfRule type="cellIs" dxfId="77" priority="58" operator="between">
      <formula>1</formula>
      <formula>10000000000000</formula>
    </cfRule>
  </conditionalFormatting>
  <conditionalFormatting sqref="K118">
    <cfRule type="cellIs" dxfId="76" priority="56" operator="between">
      <formula>1</formula>
      <formula>10000000000000</formula>
    </cfRule>
  </conditionalFormatting>
  <conditionalFormatting sqref="N118">
    <cfRule type="cellIs" dxfId="75" priority="55" operator="between">
      <formula>1</formula>
      <formula>10000000000000</formula>
    </cfRule>
  </conditionalFormatting>
  <conditionalFormatting sqref="K125">
    <cfRule type="cellIs" dxfId="74" priority="54" operator="between">
      <formula>1</formula>
      <formula>10000000000000</formula>
    </cfRule>
  </conditionalFormatting>
  <conditionalFormatting sqref="N131">
    <cfRule type="cellIs" dxfId="73" priority="50" operator="between">
      <formula>1</formula>
      <formula>10000000000000</formula>
    </cfRule>
  </conditionalFormatting>
  <conditionalFormatting sqref="H131">
    <cfRule type="cellIs" dxfId="72" priority="48" operator="between">
      <formula>1</formula>
      <formula>10000000000000</formula>
    </cfRule>
  </conditionalFormatting>
  <conditionalFormatting sqref="N125">
    <cfRule type="cellIs" dxfId="71" priority="51" operator="between">
      <formula>1</formula>
      <formula>10000000000000</formula>
    </cfRule>
  </conditionalFormatting>
  <conditionalFormatting sqref="K131">
    <cfRule type="cellIs" dxfId="70" priority="49" operator="between">
      <formula>1</formula>
      <formula>10000000000000</formula>
    </cfRule>
  </conditionalFormatting>
  <conditionalFormatting sqref="E168">
    <cfRule type="cellIs" dxfId="69" priority="46" operator="between">
      <formula>1</formula>
      <formula>10000000000000</formula>
    </cfRule>
  </conditionalFormatting>
  <conditionalFormatting sqref="H168">
    <cfRule type="cellIs" dxfId="68" priority="45" operator="between">
      <formula>1</formula>
      <formula>10000000000000</formula>
    </cfRule>
  </conditionalFormatting>
  <conditionalFormatting sqref="K168">
    <cfRule type="cellIs" dxfId="67" priority="44" operator="between">
      <formula>1</formula>
      <formula>10000000000000</formula>
    </cfRule>
  </conditionalFormatting>
  <conditionalFormatting sqref="N168">
    <cfRule type="cellIs" dxfId="66" priority="43" operator="between">
      <formula>1</formula>
      <formula>10000000000000</formula>
    </cfRule>
  </conditionalFormatting>
  <conditionalFormatting sqref="E188">
    <cfRule type="cellIs" dxfId="65" priority="42" operator="between">
      <formula>1</formula>
      <formula>10000000000000</formula>
    </cfRule>
  </conditionalFormatting>
  <conditionalFormatting sqref="H188">
    <cfRule type="cellIs" dxfId="64" priority="41" operator="between">
      <formula>1</formula>
      <formula>10000000000000</formula>
    </cfRule>
  </conditionalFormatting>
  <conditionalFormatting sqref="K188">
    <cfRule type="cellIs" dxfId="63" priority="40" operator="between">
      <formula>1</formula>
      <formula>10000000000000</formula>
    </cfRule>
  </conditionalFormatting>
  <conditionalFormatting sqref="N188">
    <cfRule type="cellIs" dxfId="62" priority="39" operator="between">
      <formula>1</formula>
      <formula>10000000000000</formula>
    </cfRule>
  </conditionalFormatting>
  <conditionalFormatting sqref="E98">
    <cfRule type="cellIs" dxfId="61" priority="38" operator="between">
      <formula>1</formula>
      <formula>10000000000000</formula>
    </cfRule>
  </conditionalFormatting>
  <conditionalFormatting sqref="E99">
    <cfRule type="cellIs" dxfId="60" priority="37" operator="between">
      <formula>1</formula>
      <formula>10000000000000</formula>
    </cfRule>
  </conditionalFormatting>
  <conditionalFormatting sqref="E111:E112">
    <cfRule type="cellIs" dxfId="59" priority="36" operator="between">
      <formula>1</formula>
      <formula>10000000000000</formula>
    </cfRule>
  </conditionalFormatting>
  <conditionalFormatting sqref="N134">
    <cfRule type="cellIs" dxfId="58" priority="1" operator="between">
      <formula>1</formula>
      <formula>10000000000000</formula>
    </cfRule>
  </conditionalFormatting>
  <conditionalFormatting sqref="E119">
    <cfRule type="cellIs" dxfId="57" priority="33" operator="between">
      <formula>1</formula>
      <formula>10000000000000</formula>
    </cfRule>
  </conditionalFormatting>
  <conditionalFormatting sqref="E120">
    <cfRule type="cellIs" dxfId="56" priority="32" operator="between">
      <formula>1</formula>
      <formula>10000000000000</formula>
    </cfRule>
  </conditionalFormatting>
  <conditionalFormatting sqref="E126">
    <cfRule type="cellIs" dxfId="55" priority="31" operator="between">
      <formula>1</formula>
      <formula>10000000000000</formula>
    </cfRule>
  </conditionalFormatting>
  <conditionalFormatting sqref="E127">
    <cfRule type="cellIs" dxfId="54" priority="30" operator="between">
      <formula>1</formula>
      <formula>10000000000000</formula>
    </cfRule>
  </conditionalFormatting>
  <conditionalFormatting sqref="E132">
    <cfRule type="cellIs" dxfId="53" priority="29" operator="between">
      <formula>1</formula>
      <formula>10000000000000</formula>
    </cfRule>
  </conditionalFormatting>
  <conditionalFormatting sqref="E133">
    <cfRule type="cellIs" dxfId="52" priority="28" operator="between">
      <formula>1</formula>
      <formula>10000000000000</formula>
    </cfRule>
  </conditionalFormatting>
  <conditionalFormatting sqref="H119">
    <cfRule type="cellIs" dxfId="51" priority="27" operator="between">
      <formula>1</formula>
      <formula>10000000000000</formula>
    </cfRule>
  </conditionalFormatting>
  <conditionalFormatting sqref="H120">
    <cfRule type="cellIs" dxfId="50" priority="26" operator="between">
      <formula>1</formula>
      <formula>10000000000000</formula>
    </cfRule>
  </conditionalFormatting>
  <conditionalFormatting sqref="H126">
    <cfRule type="cellIs" dxfId="49" priority="25" operator="between">
      <formula>1</formula>
      <formula>10000000000000</formula>
    </cfRule>
  </conditionalFormatting>
  <conditionalFormatting sqref="H127">
    <cfRule type="cellIs" dxfId="48" priority="24" operator="between">
      <formula>1</formula>
      <formula>10000000000000</formula>
    </cfRule>
  </conditionalFormatting>
  <conditionalFormatting sqref="H128">
    <cfRule type="cellIs" dxfId="47" priority="23" operator="between">
      <formula>1</formula>
      <formula>10000000000000</formula>
    </cfRule>
  </conditionalFormatting>
  <conditionalFormatting sqref="H121:H122">
    <cfRule type="cellIs" dxfId="46" priority="22" operator="between">
      <formula>1</formula>
      <formula>10000000000000</formula>
    </cfRule>
  </conditionalFormatting>
  <conditionalFormatting sqref="H132">
    <cfRule type="cellIs" dxfId="45" priority="21" operator="between">
      <formula>1</formula>
      <formula>10000000000000</formula>
    </cfRule>
  </conditionalFormatting>
  <conditionalFormatting sqref="H133">
    <cfRule type="cellIs" dxfId="44" priority="20" operator="between">
      <formula>1</formula>
      <formula>10000000000000</formula>
    </cfRule>
  </conditionalFormatting>
  <conditionalFormatting sqref="H134">
    <cfRule type="cellIs" dxfId="43" priority="19" operator="between">
      <formula>1</formula>
      <formula>10000000000000</formula>
    </cfRule>
  </conditionalFormatting>
  <conditionalFormatting sqref="K134">
    <cfRule type="cellIs" dxfId="42" priority="18" operator="between">
      <formula>1</formula>
      <formula>10000000000000</formula>
    </cfRule>
  </conditionalFormatting>
  <conditionalFormatting sqref="K133">
    <cfRule type="cellIs" dxfId="41" priority="17" operator="between">
      <formula>1</formula>
      <formula>10000000000000</formula>
    </cfRule>
  </conditionalFormatting>
  <conditionalFormatting sqref="K132">
    <cfRule type="cellIs" dxfId="40" priority="16" operator="between">
      <formula>1</formula>
      <formula>10000000000000</formula>
    </cfRule>
  </conditionalFormatting>
  <conditionalFormatting sqref="K128">
    <cfRule type="cellIs" dxfId="39" priority="15" operator="between">
      <formula>1</formula>
      <formula>10000000000000</formula>
    </cfRule>
  </conditionalFormatting>
  <conditionalFormatting sqref="K127">
    <cfRule type="cellIs" dxfId="38" priority="14" operator="between">
      <formula>1</formula>
      <formula>10000000000000</formula>
    </cfRule>
  </conditionalFormatting>
  <conditionalFormatting sqref="K126">
    <cfRule type="cellIs" dxfId="37" priority="13" operator="between">
      <formula>1</formula>
      <formula>10000000000000</formula>
    </cfRule>
  </conditionalFormatting>
  <conditionalFormatting sqref="K121:K122">
    <cfRule type="cellIs" dxfId="36" priority="12" operator="between">
      <formula>1</formula>
      <formula>10000000000000</formula>
    </cfRule>
  </conditionalFormatting>
  <conditionalFormatting sqref="K120">
    <cfRule type="cellIs" dxfId="35" priority="11" operator="between">
      <formula>1</formula>
      <formula>10000000000000</formula>
    </cfRule>
  </conditionalFormatting>
  <conditionalFormatting sqref="K119">
    <cfRule type="cellIs" dxfId="34" priority="10" operator="between">
      <formula>1</formula>
      <formula>10000000000000</formula>
    </cfRule>
  </conditionalFormatting>
  <conditionalFormatting sqref="N119">
    <cfRule type="cellIs" dxfId="33" priority="9" operator="between">
      <formula>1</formula>
      <formula>10000000000000</formula>
    </cfRule>
  </conditionalFormatting>
  <conditionalFormatting sqref="N120">
    <cfRule type="cellIs" dxfId="32" priority="8" operator="between">
      <formula>1</formula>
      <formula>10000000000000</formula>
    </cfRule>
  </conditionalFormatting>
  <conditionalFormatting sqref="N121:N122">
    <cfRule type="cellIs" dxfId="31" priority="7" operator="between">
      <formula>1</formula>
      <formula>10000000000000</formula>
    </cfRule>
  </conditionalFormatting>
  <conditionalFormatting sqref="N126">
    <cfRule type="cellIs" dxfId="30" priority="6" operator="between">
      <formula>1</formula>
      <formula>10000000000000</formula>
    </cfRule>
  </conditionalFormatting>
  <conditionalFormatting sqref="N127">
    <cfRule type="cellIs" dxfId="29" priority="5" operator="between">
      <formula>1</formula>
      <formula>10000000000000</formula>
    </cfRule>
  </conditionalFormatting>
  <conditionalFormatting sqref="N128">
    <cfRule type="cellIs" dxfId="28" priority="4" operator="between">
      <formula>1</formula>
      <formula>10000000000000</formula>
    </cfRule>
  </conditionalFormatting>
  <conditionalFormatting sqref="N132">
    <cfRule type="cellIs" dxfId="27" priority="3" operator="between">
      <formula>1</formula>
      <formula>10000000000000</formula>
    </cfRule>
  </conditionalFormatting>
  <conditionalFormatting sqref="N133">
    <cfRule type="cellIs" dxfId="26" priority="2" operator="between">
      <formula>1</formula>
      <formula>10000000000000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>
    <tabColor theme="9" tint="0.59999389629810485"/>
  </sheetPr>
  <dimension ref="A1:E51"/>
  <sheetViews>
    <sheetView zoomScale="90" zoomScaleNormal="90" workbookViewId="0">
      <selection activeCell="E22" sqref="E22"/>
    </sheetView>
  </sheetViews>
  <sheetFormatPr defaultRowHeight="15.75"/>
  <cols>
    <col min="1" max="1" width="12.75" bestFit="1" customWidth="1"/>
    <col min="2" max="2" width="30.5" bestFit="1" customWidth="1"/>
    <col min="3" max="3" width="20.125" customWidth="1"/>
    <col min="4" max="4" width="19.625" customWidth="1"/>
    <col min="5" max="5" width="11.875" bestFit="1" customWidth="1"/>
  </cols>
  <sheetData>
    <row r="1" spans="1:5" ht="15.75" customHeight="1">
      <c r="A1" s="173"/>
      <c r="B1" s="163"/>
      <c r="C1" s="163"/>
      <c r="D1" s="169"/>
      <c r="E1" s="160"/>
    </row>
    <row r="2" spans="1:5">
      <c r="A2" s="172" t="s">
        <v>111</v>
      </c>
      <c r="B2" s="171">
        <v>2868151</v>
      </c>
      <c r="C2" s="165"/>
      <c r="D2" s="165"/>
      <c r="E2" s="167"/>
    </row>
    <row r="3" spans="1:5">
      <c r="A3" s="172" t="s">
        <v>112</v>
      </c>
      <c r="B3" s="171">
        <v>121109951</v>
      </c>
      <c r="C3" s="165"/>
      <c r="D3" s="165"/>
      <c r="E3" s="167"/>
    </row>
    <row r="4" spans="1:5">
      <c r="A4" s="172" t="s">
        <v>113</v>
      </c>
      <c r="B4" s="171"/>
      <c r="C4" s="165"/>
      <c r="D4" s="165"/>
      <c r="E4" s="167"/>
    </row>
    <row r="5" spans="1:5">
      <c r="A5" s="172" t="s">
        <v>114</v>
      </c>
      <c r="B5" s="165" t="s">
        <v>115</v>
      </c>
      <c r="C5" s="165"/>
      <c r="D5" s="165"/>
      <c r="E5" s="167"/>
    </row>
    <row r="6" spans="1:5" ht="16.5" thickBot="1">
      <c r="A6" s="162"/>
      <c r="B6" s="170"/>
      <c r="C6" s="170"/>
      <c r="D6" s="170"/>
      <c r="E6" s="164"/>
    </row>
    <row r="7" spans="1:5" ht="16.5" thickBot="1">
      <c r="A7" s="66" t="s">
        <v>116</v>
      </c>
      <c r="B7" s="168" t="s">
        <v>117</v>
      </c>
      <c r="C7" s="168" t="s">
        <v>507</v>
      </c>
      <c r="D7" s="168" t="s">
        <v>118</v>
      </c>
      <c r="E7" s="161" t="s">
        <v>119</v>
      </c>
    </row>
    <row r="8" spans="1:5" s="174" customFormat="1" ht="16.5" thickBot="1">
      <c r="A8" s="366" t="s">
        <v>167</v>
      </c>
      <c r="B8" s="370"/>
      <c r="C8" s="370"/>
      <c r="D8" s="370"/>
      <c r="E8" s="336">
        <f>SUM(E10:E50)</f>
        <v>495</v>
      </c>
    </row>
    <row r="9" spans="1:5" ht="16.5" thickBot="1">
      <c r="A9" s="366" t="s">
        <v>506</v>
      </c>
      <c r="B9" s="370"/>
      <c r="C9" s="370"/>
      <c r="D9" s="370"/>
      <c r="E9" s="369">
        <f>SUM(E10:E50)</f>
        <v>495</v>
      </c>
    </row>
    <row r="10" spans="1:5">
      <c r="A10" s="357" t="s">
        <v>165</v>
      </c>
      <c r="B10" s="242"/>
      <c r="C10" s="358"/>
      <c r="D10" s="358"/>
      <c r="E10" s="349">
        <f>FoutenTijdvakOPR1</f>
        <v>99</v>
      </c>
    </row>
    <row r="11" spans="1:5">
      <c r="A11" s="61"/>
      <c r="B11" s="346"/>
      <c r="C11" s="65"/>
      <c r="D11" s="65"/>
      <c r="E11" s="166" t="str">
        <f>IF(AND(C11="",D11=""),"",IF(ABS(C11-D11)&lt;marge,0,1))</f>
        <v/>
      </c>
    </row>
    <row r="12" spans="1:5" s="174" customFormat="1">
      <c r="A12" s="61"/>
      <c r="B12" s="346"/>
      <c r="C12" s="65"/>
      <c r="D12" s="65"/>
      <c r="E12" s="166" t="str">
        <f>IF(AND(C12="",D12=""),"",IF(ABS(C12-D12)&lt;marge,0,1))</f>
        <v/>
      </c>
    </row>
    <row r="13" spans="1:5" s="174" customFormat="1">
      <c r="A13" s="318" t="s">
        <v>177</v>
      </c>
      <c r="B13" s="320"/>
      <c r="C13" s="321"/>
      <c r="D13" s="321"/>
      <c r="E13" s="166">
        <f>FoutentijdvakOPR2</f>
        <v>99</v>
      </c>
    </row>
    <row r="14" spans="1:5" s="174" customFormat="1">
      <c r="A14" s="61"/>
      <c r="B14" s="64"/>
      <c r="C14" s="65"/>
      <c r="D14" s="65"/>
      <c r="E14" s="166" t="str">
        <f>IF(AND(C14="",D14=""),"",IF(ABS(C14-D14)&lt;marge,0,1))</f>
        <v/>
      </c>
    </row>
    <row r="15" spans="1:5" s="174" customFormat="1">
      <c r="A15" s="61"/>
      <c r="B15" s="64"/>
      <c r="C15" s="65"/>
      <c r="D15" s="65"/>
      <c r="E15" s="166" t="str">
        <f>IF(AND(C15="",D15=""),"",IF(ABS(C15-D15)&lt;marge,0,1))</f>
        <v/>
      </c>
    </row>
    <row r="16" spans="1:5" s="174" customFormat="1">
      <c r="A16" s="318" t="s">
        <v>178</v>
      </c>
      <c r="B16" s="320"/>
      <c r="C16" s="321"/>
      <c r="D16" s="321"/>
      <c r="E16" s="166">
        <f>FoutenTijdvakOPR3</f>
        <v>99</v>
      </c>
    </row>
    <row r="17" spans="1:5" s="174" customFormat="1">
      <c r="A17" s="61"/>
      <c r="B17" s="64"/>
      <c r="C17" s="65"/>
      <c r="D17" s="65"/>
      <c r="E17" s="166" t="str">
        <f>IF(AND(C17="",D17=""),"",IF(ABS(C17-D17)&lt;marge,0,1))</f>
        <v/>
      </c>
    </row>
    <row r="18" spans="1:5" s="174" customFormat="1">
      <c r="A18" s="61"/>
      <c r="B18" s="64"/>
      <c r="C18" s="65"/>
      <c r="D18" s="65"/>
      <c r="E18" s="166" t="str">
        <f>IF(AND(C18="",D18=""),"",IF(ABS(C18-D18)&lt;marge,0,1))</f>
        <v/>
      </c>
    </row>
    <row r="19" spans="1:5" s="174" customFormat="1">
      <c r="A19" s="318" t="s">
        <v>179</v>
      </c>
      <c r="B19" s="320"/>
      <c r="C19" s="321"/>
      <c r="D19" s="321"/>
      <c r="E19" s="166">
        <f>FoutentijdvakOPR4</f>
        <v>0</v>
      </c>
    </row>
    <row r="20" spans="1:5" s="174" customFormat="1">
      <c r="A20" s="61"/>
      <c r="B20" s="64"/>
      <c r="C20" s="65"/>
      <c r="D20" s="65"/>
      <c r="E20" s="166" t="str">
        <f>IF(AND(C20="",D20=""),"",IF(ABS(C20-D20)&lt;marge,0,1))</f>
        <v/>
      </c>
    </row>
    <row r="21" spans="1:5" s="174" customFormat="1">
      <c r="A21" s="61"/>
      <c r="B21" s="64"/>
      <c r="C21" s="65"/>
      <c r="D21" s="65"/>
      <c r="E21" s="166" t="str">
        <f>IF(AND(C21="",D21=""),"",IF(ABS(C21-D21)&lt;marge,0,1))</f>
        <v/>
      </c>
    </row>
    <row r="22" spans="1:5" s="174" customFormat="1">
      <c r="A22" s="318" t="s">
        <v>166</v>
      </c>
      <c r="B22" s="245"/>
      <c r="C22" s="319"/>
      <c r="D22" s="319"/>
      <c r="E22" s="166">
        <f>FoutentijdvakPPR1</f>
        <v>99</v>
      </c>
    </row>
    <row r="23" spans="1:5" s="174" customFormat="1">
      <c r="A23" s="61"/>
      <c r="B23" s="124"/>
      <c r="C23" s="65"/>
      <c r="D23" s="62"/>
      <c r="E23" s="166" t="str">
        <f>IF(AND(C23="",D23=""),"",IF(ABS(C23-D23)&lt;marge,0,1))</f>
        <v/>
      </c>
    </row>
    <row r="24" spans="1:5" s="174" customFormat="1">
      <c r="A24" s="61"/>
      <c r="B24" s="124"/>
      <c r="C24" s="65"/>
      <c r="D24" s="62"/>
      <c r="E24" s="166" t="str">
        <f>IF(AND(C24="",D24=""),"",IF(ABS(C24-D24)&lt;marge,0,1))</f>
        <v/>
      </c>
    </row>
    <row r="25" spans="1:5">
      <c r="A25" s="318" t="s">
        <v>208</v>
      </c>
      <c r="B25" s="245"/>
      <c r="C25" s="319"/>
      <c r="D25" s="319"/>
      <c r="E25" s="166">
        <f>FoutentijdvakPPR2</f>
        <v>0</v>
      </c>
    </row>
    <row r="26" spans="1:5">
      <c r="A26" s="123"/>
      <c r="B26" s="63"/>
      <c r="C26" s="62"/>
      <c r="D26" s="124"/>
      <c r="E26" s="166" t="str">
        <f>IF(AND(C26="",D26=""),"",IF(ABS(C26-D26)&lt;marge,0,1))</f>
        <v/>
      </c>
    </row>
    <row r="27" spans="1:5" s="174" customFormat="1">
      <c r="A27" s="123"/>
      <c r="B27" s="63"/>
      <c r="C27" s="62"/>
      <c r="D27" s="124"/>
      <c r="E27" s="166" t="str">
        <f>IF(AND(C27="",D27=""),"",IF(ABS(C27-D27)&lt;marge,0,1))</f>
        <v/>
      </c>
    </row>
    <row r="28" spans="1:5">
      <c r="A28" s="318" t="s">
        <v>207</v>
      </c>
      <c r="B28" s="245"/>
      <c r="C28" s="319"/>
      <c r="D28" s="245"/>
      <c r="E28" s="166">
        <f>FoutentijdvakPPR3</f>
        <v>0</v>
      </c>
    </row>
    <row r="29" spans="1:5">
      <c r="A29" s="123"/>
      <c r="B29" s="63"/>
      <c r="C29" s="62"/>
      <c r="D29" s="124"/>
      <c r="E29" s="166" t="str">
        <f>IF(AND(C29="",D29=""),"",IF(ABS(C29-D29)&lt;marge,0,1))</f>
        <v/>
      </c>
    </row>
    <row r="30" spans="1:5" s="174" customFormat="1">
      <c r="A30" s="123"/>
      <c r="B30" s="63"/>
      <c r="C30" s="62"/>
      <c r="D30" s="124"/>
      <c r="E30" s="166" t="str">
        <f>IF(AND(C30="",D30=""),"",IF(ABS(C30-D30)&lt;marge,0,1))</f>
        <v/>
      </c>
    </row>
    <row r="31" spans="1:5">
      <c r="A31" s="318" t="s">
        <v>206</v>
      </c>
      <c r="B31" s="245"/>
      <c r="C31" s="245"/>
      <c r="D31" s="245"/>
      <c r="E31" s="166">
        <f>FoutentijdvakPPR4</f>
        <v>0</v>
      </c>
    </row>
    <row r="32" spans="1:5">
      <c r="A32" s="61"/>
      <c r="B32" s="124"/>
      <c r="C32" s="124"/>
      <c r="D32" s="124"/>
      <c r="E32" s="166" t="str">
        <f>IF(AND(C32="",D32=""),"",IF(ABS(C32-D32)&lt;marge,0,1))</f>
        <v/>
      </c>
    </row>
    <row r="33" spans="1:5" s="174" customFormat="1">
      <c r="A33" s="61"/>
      <c r="B33" s="124"/>
      <c r="C33" s="124"/>
      <c r="D33" s="124"/>
      <c r="E33" s="166" t="str">
        <f>IF(AND(C33="",D33=""),"",IF(ABS(C33-D33)&lt;marge,0,1))</f>
        <v/>
      </c>
    </row>
    <row r="34" spans="1:5">
      <c r="A34" s="318" t="s">
        <v>180</v>
      </c>
      <c r="B34" s="322"/>
      <c r="C34" s="322"/>
      <c r="D34" s="245"/>
      <c r="E34" s="166">
        <f>FoutentijdvakWzPR1</f>
        <v>99</v>
      </c>
    </row>
    <row r="35" spans="1:5">
      <c r="A35" s="123"/>
      <c r="B35" s="323"/>
      <c r="C35" s="323"/>
      <c r="D35" s="124"/>
      <c r="E35" s="166" t="str">
        <f>IF(AND(C35="",D35=""),"",IF(ABS(C35-D35)&lt;marge,0,1))</f>
        <v/>
      </c>
    </row>
    <row r="36" spans="1:5" s="174" customFormat="1">
      <c r="A36" s="123"/>
      <c r="B36" s="323"/>
      <c r="C36" s="323"/>
      <c r="D36" s="124"/>
      <c r="E36" s="166" t="str">
        <f>IF(AND(C36="",D36=""),"",IF(ABS(C36-D36)&lt;marge,0,1))</f>
        <v/>
      </c>
    </row>
    <row r="37" spans="1:5">
      <c r="A37" s="318" t="s">
        <v>209</v>
      </c>
      <c r="B37" s="322"/>
      <c r="C37" s="322"/>
      <c r="D37" s="245"/>
      <c r="E37" s="166">
        <f>FoutentijdvakWzPR2</f>
        <v>0</v>
      </c>
    </row>
    <row r="38" spans="1:5">
      <c r="A38" s="123"/>
      <c r="B38" s="323"/>
      <c r="C38" s="323"/>
      <c r="D38" s="124"/>
      <c r="E38" s="166" t="str">
        <f>IF(AND(C38="",D38=""),"",IF(ABS(C38-D38)&lt;marge,0,1))</f>
        <v/>
      </c>
    </row>
    <row r="39" spans="1:5" s="174" customFormat="1">
      <c r="A39" s="123"/>
      <c r="B39" s="323"/>
      <c r="C39" s="323"/>
      <c r="D39" s="124"/>
      <c r="E39" s="166" t="str">
        <f>IF(AND(C39="",D39=""),"",IF(ABS(C39-D39)&lt;marge,0,1))</f>
        <v/>
      </c>
    </row>
    <row r="40" spans="1:5">
      <c r="A40" s="318" t="s">
        <v>210</v>
      </c>
      <c r="B40" s="322"/>
      <c r="C40" s="324"/>
      <c r="D40" s="245"/>
      <c r="E40" s="183">
        <f>FoutentijdvakWzPR3</f>
        <v>0</v>
      </c>
    </row>
    <row r="41" spans="1:5">
      <c r="A41" s="123"/>
      <c r="B41" s="124"/>
      <c r="C41" s="124"/>
      <c r="D41" s="124"/>
      <c r="E41" s="166" t="str">
        <f>IF(AND(C41="",D41=""),"",IF(ABS(C41-D41)&lt;marge,0,1))</f>
        <v/>
      </c>
    </row>
    <row r="42" spans="1:5" s="174" customFormat="1">
      <c r="A42" s="123"/>
      <c r="B42" s="124"/>
      <c r="C42" s="124"/>
      <c r="D42" s="124"/>
      <c r="E42" s="166" t="str">
        <f>IF(AND(C42="",D42=""),"",IF(ABS(C42-D42)&lt;marge,0,1))</f>
        <v/>
      </c>
    </row>
    <row r="43" spans="1:5">
      <c r="A43" s="318" t="s">
        <v>211</v>
      </c>
      <c r="B43" s="245"/>
      <c r="C43" s="245"/>
      <c r="D43" s="245"/>
      <c r="E43" s="183">
        <f>FoutentijdvakWzPR4</f>
        <v>0</v>
      </c>
    </row>
    <row r="44" spans="1:5">
      <c r="A44" s="123"/>
      <c r="B44" s="124"/>
      <c r="C44" s="124"/>
      <c r="D44" s="124"/>
      <c r="E44" s="166" t="str">
        <f>IF(AND(C44="",D44=""),"",IF(ABS(C44-D44)&lt;marge,0,1))</f>
        <v/>
      </c>
    </row>
    <row r="45" spans="1:5" ht="16.5" thickBot="1">
      <c r="A45" s="325"/>
      <c r="B45" s="326"/>
      <c r="C45" s="326"/>
      <c r="D45" s="326"/>
      <c r="E45" s="356" t="str">
        <f>IF(AND(C45="",D45=""),"",IF(ABS(C45-D45)&lt;marge,0,1))</f>
        <v/>
      </c>
    </row>
    <row r="46" spans="1:5">
      <c r="A46" s="123"/>
      <c r="B46" s="124"/>
      <c r="C46" s="124"/>
      <c r="D46" s="124"/>
      <c r="E46" s="124"/>
    </row>
    <row r="47" spans="1:5">
      <c r="A47" s="124"/>
      <c r="B47" s="124"/>
      <c r="C47" s="124"/>
      <c r="D47" s="124"/>
      <c r="E47" s="124"/>
    </row>
    <row r="48" spans="1:5">
      <c r="A48" s="124"/>
      <c r="B48" s="124"/>
      <c r="C48" s="124"/>
      <c r="D48" s="124"/>
      <c r="E48" s="124"/>
    </row>
    <row r="49" spans="1:5">
      <c r="A49" s="124"/>
      <c r="B49" s="124"/>
      <c r="C49" s="124"/>
      <c r="D49" s="124"/>
      <c r="E49" s="124"/>
    </row>
    <row r="50" spans="1:5">
      <c r="A50" s="124"/>
      <c r="B50" s="124"/>
      <c r="C50" s="124"/>
      <c r="D50" s="124"/>
      <c r="E50" s="124"/>
    </row>
    <row r="51" spans="1:5">
      <c r="E51" s="124"/>
    </row>
  </sheetData>
  <conditionalFormatting sqref="E10 E19 E16 E13 E22 E25 E28 E31 E34 E37 E40 E43 E46:E211">
    <cfRule type="containsBlanks" priority="53" stopIfTrue="1">
      <formula>LEN(TRIM(E10))=0</formula>
    </cfRule>
    <cfRule type="cellIs" dxfId="25" priority="55" stopIfTrue="1" operator="greaterThan">
      <formula>0</formula>
    </cfRule>
  </conditionalFormatting>
  <conditionalFormatting sqref="E11">
    <cfRule type="containsBlanks" priority="51" stopIfTrue="1">
      <formula>LEN(TRIM(E11))=0</formula>
    </cfRule>
    <cfRule type="cellIs" dxfId="24" priority="52" stopIfTrue="1" operator="greaterThan">
      <formula>0</formula>
    </cfRule>
  </conditionalFormatting>
  <conditionalFormatting sqref="E12">
    <cfRule type="containsBlanks" priority="49" stopIfTrue="1">
      <formula>LEN(TRIM(E12))=0</formula>
    </cfRule>
    <cfRule type="cellIs" dxfId="23" priority="50" stopIfTrue="1" operator="greaterThan">
      <formula>0</formula>
    </cfRule>
  </conditionalFormatting>
  <conditionalFormatting sqref="E14">
    <cfRule type="containsBlanks" priority="47" stopIfTrue="1">
      <formula>LEN(TRIM(E14))=0</formula>
    </cfRule>
    <cfRule type="cellIs" dxfId="22" priority="48" stopIfTrue="1" operator="greaterThan">
      <formula>0</formula>
    </cfRule>
  </conditionalFormatting>
  <conditionalFormatting sqref="E15">
    <cfRule type="containsBlanks" priority="45" stopIfTrue="1">
      <formula>LEN(TRIM(E15))=0</formula>
    </cfRule>
    <cfRule type="cellIs" dxfId="21" priority="46" stopIfTrue="1" operator="greaterThan">
      <formula>0</formula>
    </cfRule>
  </conditionalFormatting>
  <conditionalFormatting sqref="E17">
    <cfRule type="containsBlanks" priority="43" stopIfTrue="1">
      <formula>LEN(TRIM(E17))=0</formula>
    </cfRule>
    <cfRule type="cellIs" dxfId="20" priority="44" stopIfTrue="1" operator="greaterThan">
      <formula>0</formula>
    </cfRule>
  </conditionalFormatting>
  <conditionalFormatting sqref="E18">
    <cfRule type="containsBlanks" priority="41" stopIfTrue="1">
      <formula>LEN(TRIM(E18))=0</formula>
    </cfRule>
    <cfRule type="cellIs" dxfId="19" priority="42" stopIfTrue="1" operator="greaterThan">
      <formula>0</formula>
    </cfRule>
  </conditionalFormatting>
  <conditionalFormatting sqref="E20">
    <cfRule type="containsBlanks" priority="39" stopIfTrue="1">
      <formula>LEN(TRIM(E20))=0</formula>
    </cfRule>
    <cfRule type="cellIs" dxfId="18" priority="40" stopIfTrue="1" operator="greaterThan">
      <formula>0</formula>
    </cfRule>
  </conditionalFormatting>
  <conditionalFormatting sqref="E21">
    <cfRule type="containsBlanks" priority="37" stopIfTrue="1">
      <formula>LEN(TRIM(E21))=0</formula>
    </cfRule>
    <cfRule type="cellIs" dxfId="17" priority="38" stopIfTrue="1" operator="greaterThan">
      <formula>0</formula>
    </cfRule>
  </conditionalFormatting>
  <conditionalFormatting sqref="E23">
    <cfRule type="containsBlanks" priority="35" stopIfTrue="1">
      <formula>LEN(TRIM(E23))=0</formula>
    </cfRule>
    <cfRule type="cellIs" dxfId="16" priority="36" stopIfTrue="1" operator="greaterThan">
      <formula>0</formula>
    </cfRule>
  </conditionalFormatting>
  <conditionalFormatting sqref="E24">
    <cfRule type="containsBlanks" priority="33" stopIfTrue="1">
      <formula>LEN(TRIM(E24))=0</formula>
    </cfRule>
    <cfRule type="cellIs" dxfId="15" priority="34" stopIfTrue="1" operator="greaterThan">
      <formula>0</formula>
    </cfRule>
  </conditionalFormatting>
  <conditionalFormatting sqref="E26">
    <cfRule type="containsBlanks" priority="31" stopIfTrue="1">
      <formula>LEN(TRIM(E26))=0</formula>
    </cfRule>
    <cfRule type="cellIs" dxfId="14" priority="32" stopIfTrue="1" operator="greaterThan">
      <formula>0</formula>
    </cfRule>
  </conditionalFormatting>
  <conditionalFormatting sqref="E27">
    <cfRule type="containsBlanks" priority="29" stopIfTrue="1">
      <formula>LEN(TRIM(E27))=0</formula>
    </cfRule>
    <cfRule type="cellIs" dxfId="13" priority="30" stopIfTrue="1" operator="greaterThan">
      <formula>0</formula>
    </cfRule>
  </conditionalFormatting>
  <conditionalFormatting sqref="E29">
    <cfRule type="containsBlanks" priority="27" stopIfTrue="1">
      <formula>LEN(TRIM(E29))=0</formula>
    </cfRule>
    <cfRule type="cellIs" dxfId="12" priority="28" stopIfTrue="1" operator="greaterThan">
      <formula>0</formula>
    </cfRule>
  </conditionalFormatting>
  <conditionalFormatting sqref="E30">
    <cfRule type="containsBlanks" priority="25" stopIfTrue="1">
      <formula>LEN(TRIM(E30))=0</formula>
    </cfRule>
    <cfRule type="cellIs" dxfId="11" priority="26" stopIfTrue="1" operator="greaterThan">
      <formula>0</formula>
    </cfRule>
  </conditionalFormatting>
  <conditionalFormatting sqref="E32">
    <cfRule type="containsBlanks" priority="23" stopIfTrue="1">
      <formula>LEN(TRIM(E32))=0</formula>
    </cfRule>
    <cfRule type="cellIs" dxfId="10" priority="24" stopIfTrue="1" operator="greaterThan">
      <formula>0</formula>
    </cfRule>
  </conditionalFormatting>
  <conditionalFormatting sqref="E33">
    <cfRule type="containsBlanks" priority="21" stopIfTrue="1">
      <formula>LEN(TRIM(E33))=0</formula>
    </cfRule>
    <cfRule type="cellIs" dxfId="9" priority="22" stopIfTrue="1" operator="greaterThan">
      <formula>0</formula>
    </cfRule>
  </conditionalFormatting>
  <conditionalFormatting sqref="E35">
    <cfRule type="containsBlanks" priority="19" stopIfTrue="1">
      <formula>LEN(TRIM(E35))=0</formula>
    </cfRule>
    <cfRule type="cellIs" dxfId="8" priority="20" stopIfTrue="1" operator="greaterThan">
      <formula>0</formula>
    </cfRule>
  </conditionalFormatting>
  <conditionalFormatting sqref="E36">
    <cfRule type="containsBlanks" priority="17" stopIfTrue="1">
      <formula>LEN(TRIM(E36))=0</formula>
    </cfRule>
    <cfRule type="cellIs" dxfId="7" priority="18" stopIfTrue="1" operator="greaterThan">
      <formula>0</formula>
    </cfRule>
  </conditionalFormatting>
  <conditionalFormatting sqref="E38">
    <cfRule type="containsBlanks" priority="15" stopIfTrue="1">
      <formula>LEN(TRIM(E38))=0</formula>
    </cfRule>
    <cfRule type="cellIs" dxfId="6" priority="16" stopIfTrue="1" operator="greaterThan">
      <formula>0</formula>
    </cfRule>
  </conditionalFormatting>
  <conditionalFormatting sqref="E39">
    <cfRule type="containsBlanks" priority="13" stopIfTrue="1">
      <formula>LEN(TRIM(E39))=0</formula>
    </cfRule>
    <cfRule type="cellIs" dxfId="5" priority="14" stopIfTrue="1" operator="greaterThan">
      <formula>0</formula>
    </cfRule>
  </conditionalFormatting>
  <conditionalFormatting sqref="E41">
    <cfRule type="containsBlanks" priority="11" stopIfTrue="1">
      <formula>LEN(TRIM(E41))=0</formula>
    </cfRule>
    <cfRule type="cellIs" dxfId="4" priority="12" stopIfTrue="1" operator="greaterThan">
      <formula>0</formula>
    </cfRule>
  </conditionalFormatting>
  <conditionalFormatting sqref="E42">
    <cfRule type="containsBlanks" priority="9" stopIfTrue="1">
      <formula>LEN(TRIM(E42))=0</formula>
    </cfRule>
    <cfRule type="cellIs" dxfId="3" priority="10" stopIfTrue="1" operator="greaterThan">
      <formula>0</formula>
    </cfRule>
  </conditionalFormatting>
  <conditionalFormatting sqref="E44">
    <cfRule type="containsBlanks" priority="7" stopIfTrue="1">
      <formula>LEN(TRIM(E44))=0</formula>
    </cfRule>
    <cfRule type="cellIs" dxfId="2" priority="8" stopIfTrue="1" operator="greaterThan">
      <formula>0</formula>
    </cfRule>
  </conditionalFormatting>
  <conditionalFormatting sqref="E45">
    <cfRule type="containsBlanks" priority="5" stopIfTrue="1">
      <formula>LEN(TRIM(E45))=0</formula>
    </cfRule>
    <cfRule type="cellIs" dxfId="1" priority="6" stopIfTrue="1" operator="greaterThan">
      <formula>0</formula>
    </cfRule>
  </conditionalFormatting>
  <conditionalFormatting sqref="E8">
    <cfRule type="cellIs" dxfId="0" priority="3" operator="greaterThan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6" tint="0.39997558519241921"/>
  </sheetPr>
  <dimension ref="A1:N119"/>
  <sheetViews>
    <sheetView topLeftCell="A4" zoomScale="80" zoomScaleNormal="80" workbookViewId="0">
      <selection activeCell="G19" sqref="G19"/>
    </sheetView>
  </sheetViews>
  <sheetFormatPr defaultRowHeight="15.75"/>
  <cols>
    <col min="4" max="4" width="32.75" bestFit="1" customWidth="1"/>
    <col min="5" max="5" width="28.75" bestFit="1" customWidth="1"/>
    <col min="6" max="6" width="29.125" customWidth="1"/>
    <col min="7" max="7" width="6.5" customWidth="1"/>
    <col min="8" max="9" width="6.5" bestFit="1" customWidth="1"/>
  </cols>
  <sheetData>
    <row r="1" spans="1:14">
      <c r="A1" s="3" t="s">
        <v>53</v>
      </c>
      <c r="B1" s="3"/>
      <c r="C1" s="3"/>
      <c r="D1" s="3"/>
      <c r="E1" s="3"/>
      <c r="F1" s="3" t="s">
        <v>55</v>
      </c>
    </row>
    <row r="2" spans="1:14">
      <c r="A2" s="3" t="s">
        <v>54</v>
      </c>
      <c r="B2" s="3"/>
      <c r="C2" s="3"/>
      <c r="D2" s="3"/>
      <c r="E2" s="3"/>
      <c r="F2" s="3"/>
    </row>
    <row r="5" spans="1:14">
      <c r="A5" s="4"/>
      <c r="B5" s="4"/>
      <c r="C5" s="4"/>
      <c r="D5" s="4" t="s">
        <v>57</v>
      </c>
      <c r="E5" s="4"/>
      <c r="F5" s="4"/>
      <c r="G5" t="s">
        <v>89</v>
      </c>
    </row>
    <row r="6" spans="1:14">
      <c r="A6" s="4"/>
      <c r="B6" s="4"/>
      <c r="C6" s="4"/>
      <c r="D6" s="4"/>
      <c r="E6" s="4" t="s">
        <v>58</v>
      </c>
      <c r="F6" s="4" t="s">
        <v>85</v>
      </c>
      <c r="G6" t="s">
        <v>89</v>
      </c>
      <c r="H6" s="174"/>
      <c r="I6" s="174"/>
      <c r="J6" s="174"/>
    </row>
    <row r="7" spans="1:14">
      <c r="A7" s="4"/>
      <c r="B7" s="4"/>
      <c r="C7" s="4"/>
      <c r="D7" s="4"/>
      <c r="E7" s="4"/>
      <c r="F7" s="4" t="s">
        <v>86</v>
      </c>
      <c r="G7" t="s">
        <v>89</v>
      </c>
      <c r="H7" s="174"/>
      <c r="I7" s="174"/>
      <c r="J7" s="174"/>
    </row>
    <row r="8" spans="1:14">
      <c r="A8" s="4"/>
      <c r="B8" s="4"/>
      <c r="C8" s="4"/>
      <c r="D8" s="4"/>
      <c r="E8" s="4"/>
      <c r="F8" s="4" t="s">
        <v>87</v>
      </c>
      <c r="G8" t="s">
        <v>89</v>
      </c>
      <c r="H8" s="174"/>
      <c r="I8" s="174"/>
      <c r="J8" s="174"/>
    </row>
    <row r="9" spans="1:14">
      <c r="A9" s="4"/>
      <c r="B9" s="4"/>
      <c r="C9" s="4"/>
      <c r="D9" s="4"/>
      <c r="E9" s="4"/>
      <c r="F9" s="4" t="s">
        <v>88</v>
      </c>
      <c r="G9" t="s">
        <v>89</v>
      </c>
    </row>
    <row r="10" spans="1:14">
      <c r="A10" s="4"/>
      <c r="B10" s="4"/>
      <c r="C10" s="4"/>
      <c r="D10" s="4"/>
      <c r="E10" s="4" t="s">
        <v>59</v>
      </c>
      <c r="F10" s="4" t="s">
        <v>85</v>
      </c>
      <c r="G10">
        <v>67</v>
      </c>
    </row>
    <row r="11" spans="1:14">
      <c r="A11" s="4"/>
      <c r="B11" s="4"/>
      <c r="C11" s="4"/>
      <c r="D11" s="4"/>
      <c r="E11" s="4"/>
      <c r="F11" s="4" t="s">
        <v>86</v>
      </c>
      <c r="G11">
        <v>0</v>
      </c>
    </row>
    <row r="12" spans="1:14">
      <c r="A12" s="4"/>
      <c r="B12" s="4"/>
      <c r="C12" s="4"/>
      <c r="D12" s="4"/>
      <c r="E12" s="4" t="s">
        <v>70</v>
      </c>
      <c r="F12" s="4" t="s">
        <v>87</v>
      </c>
      <c r="G12" t="s">
        <v>89</v>
      </c>
      <c r="N12" s="2"/>
    </row>
    <row r="13" spans="1:14">
      <c r="A13" s="4"/>
      <c r="B13" s="4"/>
      <c r="C13" s="4"/>
      <c r="D13" s="4"/>
      <c r="E13" s="4"/>
      <c r="F13" s="4" t="s">
        <v>88</v>
      </c>
      <c r="G13" t="s">
        <v>89</v>
      </c>
    </row>
    <row r="14" spans="1:14">
      <c r="A14" s="4"/>
      <c r="B14" s="4"/>
      <c r="C14" s="4"/>
      <c r="D14" s="4"/>
      <c r="E14" s="4" t="s">
        <v>79</v>
      </c>
      <c r="F14" s="4" t="s">
        <v>90</v>
      </c>
      <c r="G14" t="s">
        <v>89</v>
      </c>
    </row>
    <row r="15" spans="1:14">
      <c r="A15" s="4"/>
      <c r="B15" s="4"/>
      <c r="C15" s="4"/>
      <c r="D15" s="4"/>
      <c r="E15" s="4"/>
      <c r="F15" s="4" t="s">
        <v>91</v>
      </c>
      <c r="G15" t="s">
        <v>89</v>
      </c>
    </row>
    <row r="16" spans="1:14">
      <c r="A16" s="4"/>
      <c r="B16" s="4"/>
      <c r="C16" s="4"/>
      <c r="D16" s="4"/>
      <c r="E16" s="4" t="s">
        <v>71</v>
      </c>
      <c r="F16" s="4"/>
      <c r="G16" t="s">
        <v>89</v>
      </c>
    </row>
    <row r="17" spans="1:7">
      <c r="A17" s="4"/>
      <c r="B17" s="4"/>
      <c r="C17" s="4"/>
      <c r="D17" s="4"/>
      <c r="E17" s="4"/>
      <c r="F17" s="4"/>
      <c r="G17" t="s">
        <v>89</v>
      </c>
    </row>
    <row r="18" spans="1:7">
      <c r="A18" s="4"/>
      <c r="B18" s="4" t="s">
        <v>56</v>
      </c>
      <c r="C18" s="4"/>
      <c r="D18" s="4" t="s">
        <v>60</v>
      </c>
      <c r="E18" s="4"/>
      <c r="F18" s="4"/>
      <c r="G18" t="s">
        <v>89</v>
      </c>
    </row>
    <row r="19" spans="1:7">
      <c r="A19" s="4"/>
      <c r="B19" s="4"/>
      <c r="C19" s="4"/>
      <c r="D19" s="4" t="s">
        <v>61</v>
      </c>
      <c r="E19" s="4"/>
      <c r="F19" s="4"/>
      <c r="G19">
        <v>4569</v>
      </c>
    </row>
    <row r="20" spans="1:7">
      <c r="A20" s="4"/>
      <c r="B20" s="4"/>
      <c r="C20" s="4"/>
      <c r="D20" s="4" t="s">
        <v>62</v>
      </c>
      <c r="E20" s="4"/>
      <c r="F20" s="4"/>
      <c r="G20">
        <v>1132</v>
      </c>
    </row>
    <row r="21" spans="1:7">
      <c r="A21" s="4"/>
      <c r="B21" s="4"/>
      <c r="C21" s="4"/>
      <c r="D21" s="4" t="s">
        <v>63</v>
      </c>
      <c r="E21" s="4"/>
      <c r="F21" s="4"/>
      <c r="G21" t="s">
        <v>89</v>
      </c>
    </row>
    <row r="22" spans="1:7">
      <c r="A22" s="4"/>
      <c r="B22" s="4"/>
      <c r="C22" s="4"/>
      <c r="D22" s="4"/>
      <c r="E22" s="4"/>
      <c r="F22" s="4"/>
      <c r="G22" t="s">
        <v>89</v>
      </c>
    </row>
    <row r="23" spans="1:7">
      <c r="A23" s="4"/>
      <c r="B23" s="4" t="s">
        <v>77</v>
      </c>
      <c r="C23" s="4"/>
      <c r="D23" s="4" t="s">
        <v>72</v>
      </c>
      <c r="E23" s="4"/>
      <c r="F23" s="4"/>
      <c r="G23" t="s">
        <v>89</v>
      </c>
    </row>
    <row r="24" spans="1:7">
      <c r="A24" s="4"/>
      <c r="B24" s="4"/>
      <c r="C24" s="4"/>
      <c r="D24" s="4" t="s">
        <v>73</v>
      </c>
      <c r="E24" s="4"/>
      <c r="F24" s="4"/>
      <c r="G24" t="s">
        <v>89</v>
      </c>
    </row>
    <row r="25" spans="1:7">
      <c r="A25" s="4"/>
      <c r="B25" s="4"/>
      <c r="C25" s="4"/>
      <c r="D25" s="4" t="s">
        <v>74</v>
      </c>
      <c r="E25" s="4"/>
      <c r="F25" s="4"/>
      <c r="G25" t="s">
        <v>89</v>
      </c>
    </row>
    <row r="26" spans="1:7">
      <c r="A26" s="4"/>
      <c r="B26" s="4"/>
      <c r="C26" s="4"/>
      <c r="D26" s="4" t="s">
        <v>75</v>
      </c>
      <c r="E26" s="4"/>
      <c r="F26" s="4"/>
      <c r="G26" t="s">
        <v>89</v>
      </c>
    </row>
    <row r="27" spans="1:7">
      <c r="A27" s="4"/>
      <c r="B27" s="4"/>
      <c r="C27" s="4"/>
      <c r="D27" s="4" t="s">
        <v>76</v>
      </c>
      <c r="E27" s="4"/>
      <c r="F27" s="4"/>
      <c r="G27" t="s">
        <v>89</v>
      </c>
    </row>
    <row r="28" spans="1:7">
      <c r="A28" s="4"/>
      <c r="B28" s="4"/>
      <c r="C28" s="4"/>
      <c r="D28" s="4"/>
      <c r="E28" s="4"/>
      <c r="F28" s="4"/>
      <c r="G28" t="s">
        <v>89</v>
      </c>
    </row>
    <row r="29" spans="1:7">
      <c r="A29" s="4"/>
      <c r="B29" s="4" t="s">
        <v>78</v>
      </c>
      <c r="C29" s="4"/>
      <c r="D29" s="4" t="s">
        <v>80</v>
      </c>
      <c r="E29" s="4"/>
      <c r="F29" s="4"/>
      <c r="G29" t="s">
        <v>89</v>
      </c>
    </row>
    <row r="30" spans="1:7">
      <c r="A30" s="4"/>
      <c r="B30" s="4"/>
      <c r="C30" s="4"/>
      <c r="D30" s="4" t="s">
        <v>81</v>
      </c>
      <c r="E30" s="4"/>
      <c r="F30" s="4"/>
      <c r="G30" t="s">
        <v>89</v>
      </c>
    </row>
    <row r="31" spans="1:7">
      <c r="A31" s="4"/>
      <c r="B31" s="4"/>
      <c r="C31" s="4"/>
      <c r="D31" s="4" t="s">
        <v>82</v>
      </c>
      <c r="E31" s="4"/>
      <c r="F31" s="4"/>
      <c r="G31" t="s">
        <v>89</v>
      </c>
    </row>
    <row r="32" spans="1:7">
      <c r="A32" s="4"/>
      <c r="B32" s="4"/>
      <c r="C32" s="4"/>
      <c r="D32" s="4" t="s">
        <v>83</v>
      </c>
      <c r="E32" s="4"/>
      <c r="F32" s="4"/>
      <c r="G32" t="s">
        <v>89</v>
      </c>
    </row>
    <row r="33" spans="1:7">
      <c r="A33" s="4"/>
      <c r="B33" s="4"/>
      <c r="C33" s="4"/>
      <c r="D33" s="4" t="s">
        <v>84</v>
      </c>
      <c r="E33" s="4"/>
      <c r="F33" s="4"/>
      <c r="G33" t="s">
        <v>89</v>
      </c>
    </row>
    <row r="34" spans="1:7">
      <c r="A34" s="4"/>
      <c r="B34" s="4"/>
      <c r="C34" s="4"/>
      <c r="D34" s="4"/>
      <c r="E34" s="4"/>
      <c r="F34" s="4"/>
      <c r="G34" t="s">
        <v>89</v>
      </c>
    </row>
    <row r="35" spans="1:7">
      <c r="A35" s="4"/>
      <c r="B35" s="4"/>
      <c r="C35" s="4"/>
      <c r="D35" s="4"/>
      <c r="E35" s="4"/>
      <c r="F35" s="4"/>
      <c r="G35" t="s">
        <v>89</v>
      </c>
    </row>
    <row r="36" spans="1:7">
      <c r="A36" s="4"/>
      <c r="B36" s="4"/>
      <c r="C36" s="4"/>
      <c r="D36" s="4" t="s">
        <v>64</v>
      </c>
      <c r="E36" s="4"/>
      <c r="F36" s="4"/>
      <c r="G36" t="s">
        <v>89</v>
      </c>
    </row>
    <row r="37" spans="1:7">
      <c r="A37" s="4"/>
      <c r="B37" s="4"/>
      <c r="C37" s="4"/>
      <c r="D37" s="4"/>
      <c r="E37" s="4" t="s">
        <v>65</v>
      </c>
      <c r="F37" s="4"/>
      <c r="G37" t="s">
        <v>89</v>
      </c>
    </row>
    <row r="38" spans="1:7">
      <c r="A38" s="4"/>
      <c r="B38" s="4"/>
      <c r="C38" s="4"/>
      <c r="D38" s="4"/>
      <c r="E38" s="4"/>
      <c r="F38" s="4" t="s">
        <v>52</v>
      </c>
      <c r="G38" t="s">
        <v>89</v>
      </c>
    </row>
    <row r="39" spans="1:7">
      <c r="A39" s="4"/>
      <c r="B39" s="4"/>
      <c r="C39" s="4"/>
      <c r="D39" s="4"/>
      <c r="E39" s="4"/>
      <c r="F39" s="4" t="s">
        <v>66</v>
      </c>
      <c r="G39">
        <v>3767</v>
      </c>
    </row>
    <row r="40" spans="1:7">
      <c r="A40" s="4"/>
      <c r="B40" s="4"/>
      <c r="C40" s="4"/>
      <c r="D40" s="4"/>
      <c r="E40" s="4"/>
      <c r="F40" s="4" t="s">
        <v>51</v>
      </c>
      <c r="G40">
        <v>1002</v>
      </c>
    </row>
    <row r="41" spans="1:7">
      <c r="A41" s="4"/>
      <c r="B41" s="4"/>
      <c r="C41" s="4"/>
      <c r="D41" s="4"/>
      <c r="E41" s="4"/>
      <c r="F41" s="4" t="s">
        <v>67</v>
      </c>
      <c r="G41" t="s">
        <v>89</v>
      </c>
    </row>
    <row r="42" spans="1:7">
      <c r="A42" s="4"/>
      <c r="B42" s="4"/>
      <c r="C42" s="4"/>
      <c r="D42" s="4"/>
      <c r="E42" s="4"/>
      <c r="F42" s="4"/>
      <c r="G42" t="s">
        <v>89</v>
      </c>
    </row>
    <row r="43" spans="1:7">
      <c r="A43" s="4"/>
      <c r="B43" s="4"/>
      <c r="C43" s="4"/>
      <c r="D43" s="4"/>
      <c r="E43" s="4" t="s">
        <v>68</v>
      </c>
      <c r="F43" s="4"/>
      <c r="G43" t="s">
        <v>89</v>
      </c>
    </row>
    <row r="44" spans="1:7">
      <c r="A44" s="4"/>
      <c r="B44" s="4"/>
      <c r="C44" s="4"/>
      <c r="D44" s="4"/>
      <c r="E44" s="4"/>
      <c r="F44" s="4" t="s">
        <v>52</v>
      </c>
      <c r="G44" t="s">
        <v>89</v>
      </c>
    </row>
    <row r="45" spans="1:7">
      <c r="A45" s="4"/>
      <c r="B45" s="4"/>
      <c r="C45" s="4"/>
      <c r="D45" s="4"/>
      <c r="E45" s="4"/>
      <c r="F45" s="4" t="s">
        <v>66</v>
      </c>
      <c r="G45">
        <v>4660</v>
      </c>
    </row>
    <row r="46" spans="1:7">
      <c r="A46" s="4"/>
      <c r="B46" s="4"/>
      <c r="C46" s="4"/>
      <c r="D46" s="4"/>
      <c r="E46" s="4"/>
      <c r="F46" s="4" t="s">
        <v>51</v>
      </c>
      <c r="G46">
        <v>1155</v>
      </c>
    </row>
    <row r="47" spans="1:7">
      <c r="A47" s="4"/>
      <c r="B47" s="4"/>
      <c r="C47" s="4"/>
      <c r="D47" s="4"/>
      <c r="E47" s="4"/>
      <c r="F47" s="4" t="s">
        <v>67</v>
      </c>
      <c r="G47" t="s">
        <v>89</v>
      </c>
    </row>
    <row r="48" spans="1:7">
      <c r="A48" s="4"/>
      <c r="B48" s="4"/>
      <c r="C48" s="4"/>
      <c r="D48" s="4"/>
      <c r="E48" s="4"/>
      <c r="F48" s="4"/>
      <c r="G48" t="s">
        <v>89</v>
      </c>
    </row>
    <row r="49" spans="1:7">
      <c r="A49" s="4"/>
      <c r="B49" s="4"/>
      <c r="C49" s="4"/>
      <c r="D49" s="4"/>
      <c r="E49" s="4" t="s">
        <v>69</v>
      </c>
      <c r="F49" s="4"/>
      <c r="G49" t="s">
        <v>89</v>
      </c>
    </row>
    <row r="50" spans="1:7">
      <c r="A50" s="4"/>
      <c r="B50" s="4"/>
      <c r="C50" s="4"/>
      <c r="D50" s="4"/>
      <c r="E50" s="4"/>
      <c r="F50" s="4" t="s">
        <v>52</v>
      </c>
      <c r="G50" t="s">
        <v>89</v>
      </c>
    </row>
    <row r="51" spans="1:7">
      <c r="A51" s="4"/>
      <c r="B51" s="4"/>
      <c r="C51" s="4"/>
      <c r="D51" s="4"/>
      <c r="E51" s="4"/>
      <c r="F51" s="4" t="s">
        <v>66</v>
      </c>
      <c r="G51">
        <v>5025</v>
      </c>
    </row>
    <row r="52" spans="1:7">
      <c r="A52" s="4"/>
      <c r="B52" s="4"/>
      <c r="C52" s="4"/>
      <c r="D52" s="4"/>
      <c r="E52" s="4"/>
      <c r="F52" s="4" t="s">
        <v>51</v>
      </c>
      <c r="G52">
        <v>1245</v>
      </c>
    </row>
    <row r="53" spans="1:7">
      <c r="A53" s="4"/>
      <c r="B53" s="4"/>
      <c r="C53" s="4"/>
      <c r="D53" s="4"/>
      <c r="E53" s="4"/>
      <c r="F53" s="4" t="s">
        <v>67</v>
      </c>
      <c r="G53" t="s">
        <v>89</v>
      </c>
    </row>
    <row r="54" spans="1:7">
      <c r="A54" s="4"/>
      <c r="B54" s="4"/>
      <c r="C54" s="4"/>
      <c r="D54" s="4"/>
      <c r="E54" s="4"/>
      <c r="F54" s="4"/>
      <c r="G54" t="s">
        <v>89</v>
      </c>
    </row>
    <row r="55" spans="1:7">
      <c r="A55" s="4"/>
      <c r="B55" s="4"/>
      <c r="C55" s="4"/>
      <c r="D55" s="4"/>
      <c r="E55" s="4"/>
      <c r="F55" s="4"/>
      <c r="G55" t="s">
        <v>89</v>
      </c>
    </row>
    <row r="56" spans="1:7">
      <c r="A56" s="4"/>
      <c r="B56" s="4"/>
      <c r="C56" s="4"/>
      <c r="D56" s="4"/>
      <c r="E56" s="4"/>
      <c r="F56" s="4"/>
      <c r="G56" t="s">
        <v>89</v>
      </c>
    </row>
    <row r="57" spans="1:7">
      <c r="G57" t="s">
        <v>89</v>
      </c>
    </row>
    <row r="58" spans="1:7">
      <c r="G58" t="s">
        <v>89</v>
      </c>
    </row>
    <row r="59" spans="1:7">
      <c r="G59" t="s">
        <v>89</v>
      </c>
    </row>
    <row r="60" spans="1:7">
      <c r="G60" t="s">
        <v>89</v>
      </c>
    </row>
    <row r="61" spans="1:7">
      <c r="G61" t="s">
        <v>89</v>
      </c>
    </row>
    <row r="62" spans="1:7">
      <c r="G62" t="s">
        <v>89</v>
      </c>
    </row>
    <row r="63" spans="1:7">
      <c r="G63" t="s">
        <v>89</v>
      </c>
    </row>
    <row r="64" spans="1:7">
      <c r="G64" t="s">
        <v>89</v>
      </c>
    </row>
    <row r="65" spans="7:7">
      <c r="G65" t="s">
        <v>89</v>
      </c>
    </row>
    <row r="66" spans="7:7">
      <c r="G66" t="s">
        <v>89</v>
      </c>
    </row>
    <row r="67" spans="7:7">
      <c r="G67" t="s">
        <v>89</v>
      </c>
    </row>
    <row r="68" spans="7:7">
      <c r="G68" t="s">
        <v>89</v>
      </c>
    </row>
    <row r="69" spans="7:7">
      <c r="G69" t="s">
        <v>89</v>
      </c>
    </row>
    <row r="70" spans="7:7">
      <c r="G70" t="s">
        <v>89</v>
      </c>
    </row>
    <row r="71" spans="7:7">
      <c r="G71" t="s">
        <v>89</v>
      </c>
    </row>
    <row r="72" spans="7:7">
      <c r="G72" t="s">
        <v>89</v>
      </c>
    </row>
    <row r="73" spans="7:7">
      <c r="G73" t="s">
        <v>89</v>
      </c>
    </row>
    <row r="74" spans="7:7">
      <c r="G74" t="s">
        <v>89</v>
      </c>
    </row>
    <row r="75" spans="7:7">
      <c r="G75" t="s">
        <v>89</v>
      </c>
    </row>
    <row r="76" spans="7:7">
      <c r="G76" t="s">
        <v>89</v>
      </c>
    </row>
    <row r="77" spans="7:7">
      <c r="G77" t="s">
        <v>89</v>
      </c>
    </row>
    <row r="78" spans="7:7">
      <c r="G78" t="s">
        <v>89</v>
      </c>
    </row>
    <row r="79" spans="7:7">
      <c r="G79" t="s">
        <v>89</v>
      </c>
    </row>
    <row r="80" spans="7:7">
      <c r="G80" t="s">
        <v>89</v>
      </c>
    </row>
    <row r="81" spans="7:7">
      <c r="G81" t="s">
        <v>89</v>
      </c>
    </row>
    <row r="82" spans="7:7">
      <c r="G82" t="s">
        <v>89</v>
      </c>
    </row>
    <row r="83" spans="7:7">
      <c r="G83" t="s">
        <v>89</v>
      </c>
    </row>
    <row r="84" spans="7:7">
      <c r="G84" t="s">
        <v>89</v>
      </c>
    </row>
    <row r="85" spans="7:7">
      <c r="G85" t="s">
        <v>89</v>
      </c>
    </row>
    <row r="86" spans="7:7">
      <c r="G86" t="s">
        <v>89</v>
      </c>
    </row>
    <row r="87" spans="7:7">
      <c r="G87" t="s">
        <v>89</v>
      </c>
    </row>
    <row r="88" spans="7:7">
      <c r="G88" t="s">
        <v>89</v>
      </c>
    </row>
    <row r="89" spans="7:7">
      <c r="G89" t="s">
        <v>89</v>
      </c>
    </row>
    <row r="90" spans="7:7">
      <c r="G90" t="s">
        <v>89</v>
      </c>
    </row>
    <row r="91" spans="7:7">
      <c r="G91" t="s">
        <v>89</v>
      </c>
    </row>
    <row r="92" spans="7:7">
      <c r="G92" t="s">
        <v>89</v>
      </c>
    </row>
    <row r="93" spans="7:7">
      <c r="G93" t="s">
        <v>89</v>
      </c>
    </row>
    <row r="94" spans="7:7">
      <c r="G94" t="s">
        <v>89</v>
      </c>
    </row>
    <row r="95" spans="7:7">
      <c r="G95" t="s">
        <v>89</v>
      </c>
    </row>
    <row r="96" spans="7:7">
      <c r="G96" t="s">
        <v>89</v>
      </c>
    </row>
    <row r="97" spans="7:9">
      <c r="G97" t="s">
        <v>89</v>
      </c>
    </row>
    <row r="98" spans="7:9">
      <c r="G98" t="s">
        <v>89</v>
      </c>
    </row>
    <row r="99" spans="7:9">
      <c r="G99" t="s">
        <v>89</v>
      </c>
    </row>
    <row r="100" spans="7:9">
      <c r="G100" t="s">
        <v>89</v>
      </c>
    </row>
    <row r="101" spans="7:9">
      <c r="G101" t="s">
        <v>89</v>
      </c>
      <c r="H101" t="s">
        <v>89</v>
      </c>
      <c r="I101" t="s">
        <v>89</v>
      </c>
    </row>
    <row r="102" spans="7:9">
      <c r="G102" t="s">
        <v>89</v>
      </c>
      <c r="H102" t="s">
        <v>89</v>
      </c>
      <c r="I102" t="s">
        <v>89</v>
      </c>
    </row>
    <row r="103" spans="7:9">
      <c r="G103" t="s">
        <v>89</v>
      </c>
      <c r="H103" t="s">
        <v>89</v>
      </c>
      <c r="I103" t="s">
        <v>89</v>
      </c>
    </row>
    <row r="104" spans="7:9">
      <c r="G104" t="s">
        <v>89</v>
      </c>
      <c r="H104" t="s">
        <v>89</v>
      </c>
      <c r="I104" t="s">
        <v>89</v>
      </c>
    </row>
    <row r="105" spans="7:9">
      <c r="G105" t="s">
        <v>89</v>
      </c>
    </row>
    <row r="106" spans="7:9">
      <c r="G106" t="s">
        <v>89</v>
      </c>
      <c r="H106" t="s">
        <v>89</v>
      </c>
    </row>
    <row r="107" spans="7:9">
      <c r="G107" t="s">
        <v>89</v>
      </c>
      <c r="H107" t="s">
        <v>89</v>
      </c>
      <c r="I107" t="s">
        <v>89</v>
      </c>
    </row>
    <row r="108" spans="7:9">
      <c r="G108" t="s">
        <v>89</v>
      </c>
      <c r="H108" t="s">
        <v>89</v>
      </c>
      <c r="I108" t="s">
        <v>89</v>
      </c>
    </row>
    <row r="109" spans="7:9">
      <c r="G109" t="s">
        <v>89</v>
      </c>
      <c r="H109" t="s">
        <v>89</v>
      </c>
      <c r="I109" t="s">
        <v>89</v>
      </c>
    </row>
    <row r="110" spans="7:9">
      <c r="G110" t="s">
        <v>89</v>
      </c>
      <c r="H110" t="s">
        <v>89</v>
      </c>
      <c r="I110" t="s">
        <v>89</v>
      </c>
    </row>
    <row r="111" spans="7:9">
      <c r="G111" t="s">
        <v>89</v>
      </c>
      <c r="H111" t="s">
        <v>89</v>
      </c>
      <c r="I111" t="s">
        <v>89</v>
      </c>
    </row>
    <row r="112" spans="7:9">
      <c r="G112" t="s">
        <v>89</v>
      </c>
      <c r="H112" t="s">
        <v>89</v>
      </c>
      <c r="I112" t="s">
        <v>89</v>
      </c>
    </row>
    <row r="113" spans="7:9">
      <c r="G113" t="s">
        <v>89</v>
      </c>
      <c r="H113" t="s">
        <v>89</v>
      </c>
      <c r="I113" t="s">
        <v>89</v>
      </c>
    </row>
    <row r="114" spans="7:9">
      <c r="G114" t="s">
        <v>89</v>
      </c>
      <c r="H114" t="s">
        <v>89</v>
      </c>
      <c r="I114" t="s">
        <v>89</v>
      </c>
    </row>
    <row r="115" spans="7:9">
      <c r="G115" t="s">
        <v>89</v>
      </c>
      <c r="H115" t="s">
        <v>89</v>
      </c>
      <c r="I115" t="s">
        <v>89</v>
      </c>
    </row>
    <row r="116" spans="7:9">
      <c r="G116" t="s">
        <v>89</v>
      </c>
      <c r="H116" t="s">
        <v>89</v>
      </c>
      <c r="I116" t="s">
        <v>89</v>
      </c>
    </row>
    <row r="117" spans="7:9">
      <c r="G117" t="s">
        <v>89</v>
      </c>
    </row>
    <row r="118" spans="7:9">
      <c r="G118" t="s">
        <v>89</v>
      </c>
      <c r="H118" t="s">
        <v>89</v>
      </c>
    </row>
    <row r="119" spans="7:9">
      <c r="G119" t="s">
        <v>89</v>
      </c>
      <c r="H119" t="s">
        <v>89</v>
      </c>
      <c r="I119" t="s">
        <v>89</v>
      </c>
    </row>
  </sheetData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6" tint="0.39997558519241921"/>
  </sheetPr>
  <dimension ref="A1:G105"/>
  <sheetViews>
    <sheetView zoomScale="80" zoomScaleNormal="80" workbookViewId="0">
      <selection activeCell="P53" sqref="P53"/>
    </sheetView>
  </sheetViews>
  <sheetFormatPr defaultRowHeight="15.75"/>
  <cols>
    <col min="4" max="4" width="34.875" bestFit="1" customWidth="1"/>
    <col min="5" max="5" width="30.625" bestFit="1" customWidth="1"/>
    <col min="6" max="6" width="26.875" bestFit="1" customWidth="1"/>
    <col min="7" max="7" width="4.375" bestFit="1" customWidth="1"/>
    <col min="8" max="9" width="5.75" bestFit="1" customWidth="1"/>
  </cols>
  <sheetData>
    <row r="1" spans="1:6">
      <c r="A1" s="3" t="s">
        <v>53</v>
      </c>
      <c r="B1" s="3"/>
      <c r="C1" s="3"/>
      <c r="D1" s="3"/>
      <c r="E1" s="3"/>
      <c r="F1" s="3" t="s">
        <v>55</v>
      </c>
    </row>
    <row r="2" spans="1:6">
      <c r="A2" s="3" t="s">
        <v>54</v>
      </c>
      <c r="B2" s="3"/>
      <c r="C2" s="3"/>
      <c r="D2" s="3"/>
      <c r="E2" s="3"/>
      <c r="F2" s="3"/>
    </row>
    <row r="5" spans="1:6">
      <c r="A5" s="4"/>
      <c r="B5" s="4"/>
      <c r="C5" s="4"/>
      <c r="D5" s="4" t="s">
        <v>57</v>
      </c>
      <c r="E5" s="4"/>
      <c r="F5" s="4"/>
    </row>
    <row r="6" spans="1:6">
      <c r="A6" s="4"/>
      <c r="B6" s="4"/>
      <c r="C6" s="4"/>
      <c r="D6" s="4"/>
      <c r="E6" s="4" t="s">
        <v>58</v>
      </c>
      <c r="F6" s="4" t="s">
        <v>85</v>
      </c>
    </row>
    <row r="7" spans="1:6">
      <c r="A7" s="4"/>
      <c r="B7" s="4"/>
      <c r="C7" s="4"/>
      <c r="D7" s="4"/>
      <c r="E7" s="4"/>
      <c r="F7" s="4" t="s">
        <v>86</v>
      </c>
    </row>
    <row r="8" spans="1:6">
      <c r="A8" s="4"/>
      <c r="B8" s="4"/>
      <c r="C8" s="4"/>
      <c r="D8" s="4"/>
      <c r="E8" s="4"/>
      <c r="F8" s="4" t="s">
        <v>87</v>
      </c>
    </row>
    <row r="9" spans="1:6">
      <c r="A9" s="4"/>
      <c r="B9" s="4"/>
      <c r="C9" s="4"/>
      <c r="D9" s="4"/>
      <c r="E9" s="4"/>
      <c r="F9" s="4" t="s">
        <v>88</v>
      </c>
    </row>
    <row r="10" spans="1:6">
      <c r="A10" s="4"/>
      <c r="B10" s="4"/>
      <c r="C10" s="4"/>
      <c r="D10" s="4"/>
      <c r="E10" s="4" t="s">
        <v>59</v>
      </c>
      <c r="F10" s="4" t="s">
        <v>85</v>
      </c>
    </row>
    <row r="11" spans="1:6">
      <c r="A11" s="4"/>
      <c r="B11" s="4"/>
      <c r="C11" s="4"/>
      <c r="D11" s="4"/>
      <c r="E11" s="4"/>
      <c r="F11" s="4" t="s">
        <v>86</v>
      </c>
    </row>
    <row r="12" spans="1:6">
      <c r="A12" s="4"/>
      <c r="B12" s="4"/>
      <c r="C12" s="4"/>
      <c r="D12" s="4"/>
      <c r="E12" s="4" t="s">
        <v>70</v>
      </c>
      <c r="F12" s="4" t="s">
        <v>87</v>
      </c>
    </row>
    <row r="13" spans="1:6">
      <c r="A13" s="4"/>
      <c r="B13" s="4"/>
      <c r="C13" s="4"/>
      <c r="D13" s="4"/>
      <c r="E13" s="4"/>
      <c r="F13" s="4" t="s">
        <v>88</v>
      </c>
    </row>
    <row r="14" spans="1:6">
      <c r="A14" s="4"/>
      <c r="B14" s="4"/>
      <c r="C14" s="4"/>
      <c r="D14" s="4"/>
      <c r="E14" s="4" t="s">
        <v>79</v>
      </c>
      <c r="F14" s="4" t="s">
        <v>90</v>
      </c>
    </row>
    <row r="15" spans="1:6">
      <c r="A15" s="4"/>
      <c r="B15" s="4"/>
      <c r="C15" s="4"/>
      <c r="D15" s="4"/>
      <c r="E15" s="4"/>
      <c r="F15" s="4" t="s">
        <v>91</v>
      </c>
    </row>
    <row r="16" spans="1:6">
      <c r="A16" s="4"/>
      <c r="B16" s="4"/>
      <c r="C16" s="4"/>
      <c r="D16" s="4"/>
      <c r="E16" s="4" t="s">
        <v>71</v>
      </c>
      <c r="F16" s="4"/>
    </row>
    <row r="17" spans="1:6">
      <c r="A17" s="4"/>
      <c r="B17" s="4"/>
      <c r="C17" s="4"/>
      <c r="D17" s="4"/>
      <c r="E17" s="4"/>
      <c r="F17" s="4"/>
    </row>
    <row r="18" spans="1:6">
      <c r="A18" s="4"/>
      <c r="B18" s="4" t="s">
        <v>56</v>
      </c>
      <c r="C18" s="4"/>
      <c r="D18" s="4" t="s">
        <v>60</v>
      </c>
      <c r="E18" s="4"/>
      <c r="F18" s="4"/>
    </row>
    <row r="19" spans="1:6">
      <c r="A19" s="4"/>
      <c r="B19" s="4"/>
      <c r="C19" s="4"/>
      <c r="D19" s="4" t="s">
        <v>61</v>
      </c>
      <c r="E19" s="4"/>
      <c r="F19" s="4"/>
    </row>
    <row r="20" spans="1:6">
      <c r="A20" s="4"/>
      <c r="B20" s="4"/>
      <c r="C20" s="4"/>
      <c r="D20" s="4" t="s">
        <v>62</v>
      </c>
      <c r="E20" s="4"/>
      <c r="F20" s="4"/>
    </row>
    <row r="21" spans="1:6">
      <c r="A21" s="4"/>
      <c r="B21" s="4"/>
      <c r="C21" s="4"/>
      <c r="D21" s="4" t="s">
        <v>63</v>
      </c>
      <c r="E21" s="4"/>
      <c r="F21" s="4"/>
    </row>
    <row r="22" spans="1:6">
      <c r="A22" s="4"/>
      <c r="B22" s="4"/>
      <c r="C22" s="4"/>
      <c r="D22" s="4"/>
      <c r="E22" s="4"/>
      <c r="F22" s="4"/>
    </row>
    <row r="23" spans="1:6">
      <c r="A23" s="4"/>
      <c r="B23" s="4" t="s">
        <v>77</v>
      </c>
      <c r="C23" s="4"/>
      <c r="D23" s="4" t="s">
        <v>72</v>
      </c>
      <c r="E23" s="4"/>
      <c r="F23" s="4"/>
    </row>
    <row r="24" spans="1:6">
      <c r="A24" s="4"/>
      <c r="B24" s="4"/>
      <c r="C24" s="4"/>
      <c r="D24" s="4" t="s">
        <v>73</v>
      </c>
      <c r="E24" s="4"/>
      <c r="F24" s="4"/>
    </row>
    <row r="25" spans="1:6">
      <c r="A25" s="4"/>
      <c r="B25" s="4"/>
      <c r="C25" s="4"/>
      <c r="D25" s="4" t="s">
        <v>74</v>
      </c>
      <c r="E25" s="4"/>
      <c r="F25" s="4"/>
    </row>
    <row r="26" spans="1:6">
      <c r="A26" s="4"/>
      <c r="B26" s="4"/>
      <c r="C26" s="4"/>
      <c r="D26" s="4" t="s">
        <v>75</v>
      </c>
      <c r="E26" s="4"/>
      <c r="F26" s="4"/>
    </row>
    <row r="27" spans="1:6">
      <c r="A27" s="4"/>
      <c r="B27" s="4"/>
      <c r="C27" s="4"/>
      <c r="D27" s="4" t="s">
        <v>76</v>
      </c>
      <c r="E27" s="4"/>
      <c r="F27" s="4"/>
    </row>
    <row r="28" spans="1:6">
      <c r="A28" s="4"/>
      <c r="B28" s="4"/>
      <c r="C28" s="4"/>
      <c r="D28" s="4"/>
      <c r="E28" s="4"/>
      <c r="F28" s="4"/>
    </row>
    <row r="29" spans="1:6">
      <c r="A29" s="4"/>
      <c r="B29" s="4" t="s">
        <v>78</v>
      </c>
      <c r="C29" s="4"/>
      <c r="D29" s="4" t="s">
        <v>80</v>
      </c>
      <c r="E29" s="4"/>
      <c r="F29" s="4"/>
    </row>
    <row r="30" spans="1:6">
      <c r="A30" s="4"/>
      <c r="B30" s="4"/>
      <c r="C30" s="4"/>
      <c r="D30" s="4" t="s">
        <v>81</v>
      </c>
      <c r="E30" s="4"/>
      <c r="F30" s="4"/>
    </row>
    <row r="31" spans="1:6">
      <c r="A31" s="4"/>
      <c r="B31" s="4"/>
      <c r="C31" s="4"/>
      <c r="D31" s="4" t="s">
        <v>82</v>
      </c>
      <c r="E31" s="4"/>
      <c r="F31" s="4"/>
    </row>
    <row r="32" spans="1:6">
      <c r="A32" s="4"/>
      <c r="B32" s="4"/>
      <c r="C32" s="4"/>
      <c r="D32" s="4" t="s">
        <v>83</v>
      </c>
      <c r="E32" s="4"/>
      <c r="F32" s="4"/>
    </row>
    <row r="33" spans="1:6">
      <c r="A33" s="4"/>
      <c r="B33" s="4"/>
      <c r="C33" s="4"/>
      <c r="D33" s="4" t="s">
        <v>84</v>
      </c>
      <c r="E33" s="4"/>
      <c r="F33" s="4"/>
    </row>
    <row r="34" spans="1:6">
      <c r="A34" s="4"/>
      <c r="B34" s="4"/>
      <c r="C34" s="4"/>
      <c r="D34" s="4"/>
      <c r="E34" s="4"/>
      <c r="F34" s="4"/>
    </row>
    <row r="35" spans="1:6">
      <c r="A35" s="4"/>
      <c r="B35" s="4"/>
      <c r="C35" s="4"/>
      <c r="D35" s="4"/>
      <c r="E35" s="4"/>
      <c r="F35" s="4"/>
    </row>
    <row r="36" spans="1:6">
      <c r="A36" s="4"/>
      <c r="B36" s="4"/>
      <c r="C36" s="4"/>
      <c r="D36" s="4" t="s">
        <v>64</v>
      </c>
      <c r="E36" s="4"/>
      <c r="F36" s="4"/>
    </row>
    <row r="37" spans="1:6">
      <c r="A37" s="4"/>
      <c r="B37" s="4"/>
      <c r="C37" s="4"/>
      <c r="D37" s="4"/>
      <c r="E37" s="4" t="s">
        <v>65</v>
      </c>
      <c r="F37" s="4"/>
    </row>
    <row r="38" spans="1:6">
      <c r="A38" s="4"/>
      <c r="B38" s="4"/>
      <c r="C38" s="4"/>
      <c r="D38" s="4"/>
      <c r="E38" s="4"/>
      <c r="F38" s="4" t="s">
        <v>52</v>
      </c>
    </row>
    <row r="39" spans="1:6">
      <c r="A39" s="4"/>
      <c r="B39" s="4"/>
      <c r="C39" s="4"/>
      <c r="D39" s="4"/>
      <c r="E39" s="4"/>
      <c r="F39" s="4" t="s">
        <v>66</v>
      </c>
    </row>
    <row r="40" spans="1:6">
      <c r="A40" s="4"/>
      <c r="B40" s="4"/>
      <c r="C40" s="4"/>
      <c r="D40" s="4"/>
      <c r="E40" s="4"/>
      <c r="F40" s="4" t="s">
        <v>51</v>
      </c>
    </row>
    <row r="41" spans="1:6">
      <c r="A41" s="4"/>
      <c r="B41" s="4"/>
      <c r="C41" s="4"/>
      <c r="D41" s="4"/>
      <c r="E41" s="4"/>
      <c r="F41" s="4" t="s">
        <v>67</v>
      </c>
    </row>
    <row r="42" spans="1:6">
      <c r="A42" s="4"/>
      <c r="B42" s="4"/>
      <c r="C42" s="4"/>
      <c r="D42" s="4"/>
      <c r="E42" s="4"/>
      <c r="F42" s="4"/>
    </row>
    <row r="43" spans="1:6">
      <c r="A43" s="4"/>
      <c r="B43" s="4"/>
      <c r="C43" s="4"/>
      <c r="D43" s="4"/>
      <c r="E43" s="4" t="s">
        <v>68</v>
      </c>
      <c r="F43" s="4"/>
    </row>
    <row r="44" spans="1:6">
      <c r="A44" s="4"/>
      <c r="B44" s="4"/>
      <c r="C44" s="4"/>
      <c r="D44" s="4"/>
      <c r="E44" s="4"/>
      <c r="F44" s="4" t="s">
        <v>52</v>
      </c>
    </row>
    <row r="45" spans="1:6">
      <c r="A45" s="4"/>
      <c r="B45" s="4"/>
      <c r="C45" s="4"/>
      <c r="D45" s="4"/>
      <c r="E45" s="4"/>
      <c r="F45" s="4" t="s">
        <v>66</v>
      </c>
    </row>
    <row r="46" spans="1:6">
      <c r="A46" s="4"/>
      <c r="B46" s="4"/>
      <c r="C46" s="4"/>
      <c r="D46" s="4"/>
      <c r="E46" s="4"/>
      <c r="F46" s="4" t="s">
        <v>51</v>
      </c>
    </row>
    <row r="47" spans="1:6">
      <c r="A47" s="4"/>
      <c r="B47" s="4"/>
      <c r="C47" s="4"/>
      <c r="D47" s="4"/>
      <c r="E47" s="4"/>
      <c r="F47" s="4" t="s">
        <v>67</v>
      </c>
    </row>
    <row r="48" spans="1:6">
      <c r="A48" s="4"/>
      <c r="B48" s="4"/>
      <c r="C48" s="4"/>
      <c r="D48" s="4"/>
      <c r="E48" s="4"/>
      <c r="F48" s="4"/>
    </row>
    <row r="49" spans="1:6">
      <c r="A49" s="4"/>
      <c r="B49" s="4"/>
      <c r="C49" s="4"/>
      <c r="D49" s="4"/>
      <c r="E49" s="4" t="s">
        <v>69</v>
      </c>
      <c r="F49" s="4"/>
    </row>
    <row r="50" spans="1:6">
      <c r="A50" s="4"/>
      <c r="B50" s="4"/>
      <c r="C50" s="4"/>
      <c r="D50" s="4"/>
      <c r="E50" s="4"/>
      <c r="F50" s="4" t="s">
        <v>52</v>
      </c>
    </row>
    <row r="51" spans="1:6">
      <c r="A51" s="4"/>
      <c r="B51" s="4"/>
      <c r="C51" s="4"/>
      <c r="D51" s="4"/>
      <c r="E51" s="4"/>
      <c r="F51" s="4" t="s">
        <v>66</v>
      </c>
    </row>
    <row r="52" spans="1:6">
      <c r="A52" s="4"/>
      <c r="B52" s="4"/>
      <c r="C52" s="4"/>
      <c r="D52" s="4"/>
      <c r="E52" s="4"/>
      <c r="F52" s="4" t="s">
        <v>51</v>
      </c>
    </row>
    <row r="53" spans="1:6">
      <c r="A53" s="4"/>
      <c r="B53" s="4"/>
      <c r="C53" s="4"/>
      <c r="D53" s="4"/>
      <c r="E53" s="4"/>
      <c r="F53" s="4" t="s">
        <v>67</v>
      </c>
    </row>
    <row r="54" spans="1:6">
      <c r="A54" s="4"/>
      <c r="B54" s="4"/>
      <c r="C54" s="4"/>
      <c r="D54" s="4"/>
      <c r="E54" s="4"/>
      <c r="F54" s="4"/>
    </row>
    <row r="55" spans="1:6">
      <c r="A55" s="4"/>
      <c r="B55" s="4"/>
      <c r="C55" s="4"/>
      <c r="D55" s="4"/>
      <c r="E55" s="4"/>
      <c r="F55" s="4"/>
    </row>
    <row r="101" spans="7:7">
      <c r="G101" t="s">
        <v>89</v>
      </c>
    </row>
    <row r="102" spans="7:7">
      <c r="G102" t="s">
        <v>89</v>
      </c>
    </row>
    <row r="103" spans="7:7">
      <c r="G103" t="s">
        <v>89</v>
      </c>
    </row>
    <row r="104" spans="7:7">
      <c r="G104" t="s">
        <v>89</v>
      </c>
    </row>
    <row r="105" spans="7:7">
      <c r="G105" t="s">
        <v>89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6" tint="0.39997558519241921"/>
  </sheetPr>
  <dimension ref="A1:H106"/>
  <sheetViews>
    <sheetView zoomScale="80" zoomScaleNormal="80" workbookViewId="0">
      <selection activeCell="K42" sqref="K42"/>
    </sheetView>
  </sheetViews>
  <sheetFormatPr defaultRowHeight="15.75"/>
  <cols>
    <col min="1" max="1" width="8" customWidth="1"/>
    <col min="2" max="2" width="8.5" customWidth="1"/>
    <col min="3" max="3" width="9.625" customWidth="1"/>
    <col min="4" max="4" width="34.875" bestFit="1" customWidth="1"/>
    <col min="5" max="5" width="30.625" bestFit="1" customWidth="1"/>
    <col min="6" max="6" width="29.25" bestFit="1" customWidth="1"/>
    <col min="7" max="8" width="4.375" bestFit="1" customWidth="1"/>
    <col min="9" max="9" width="5.75" bestFit="1" customWidth="1"/>
  </cols>
  <sheetData>
    <row r="1" spans="1:6">
      <c r="A1" s="3" t="s">
        <v>53</v>
      </c>
      <c r="B1" s="3"/>
      <c r="C1" s="3"/>
      <c r="D1" s="3"/>
      <c r="E1" s="3"/>
      <c r="F1" s="3" t="s">
        <v>55</v>
      </c>
    </row>
    <row r="2" spans="1:6">
      <c r="A2" s="3" t="s">
        <v>54</v>
      </c>
      <c r="B2" s="3"/>
      <c r="C2" s="3"/>
      <c r="D2" s="3"/>
      <c r="E2" s="3"/>
      <c r="F2" s="3"/>
    </row>
    <row r="5" spans="1:6">
      <c r="A5" s="4"/>
      <c r="B5" s="4"/>
      <c r="C5" s="4"/>
      <c r="D5" s="4" t="s">
        <v>57</v>
      </c>
      <c r="E5" s="4"/>
      <c r="F5" s="4"/>
    </row>
    <row r="6" spans="1:6">
      <c r="A6" s="4"/>
      <c r="B6" s="4"/>
      <c r="C6" s="4"/>
      <c r="D6" s="4"/>
      <c r="E6" s="4" t="s">
        <v>58</v>
      </c>
      <c r="F6" s="4" t="s">
        <v>85</v>
      </c>
    </row>
    <row r="7" spans="1:6">
      <c r="A7" s="4"/>
      <c r="B7" s="4"/>
      <c r="C7" s="4"/>
      <c r="D7" s="4"/>
      <c r="E7" s="4"/>
      <c r="F7" s="4" t="s">
        <v>86</v>
      </c>
    </row>
    <row r="8" spans="1:6">
      <c r="A8" s="4"/>
      <c r="B8" s="4"/>
      <c r="C8" s="4"/>
      <c r="D8" s="4"/>
      <c r="E8" s="4"/>
      <c r="F8" s="4" t="s">
        <v>87</v>
      </c>
    </row>
    <row r="9" spans="1:6">
      <c r="A9" s="4"/>
      <c r="B9" s="4"/>
      <c r="C9" s="4"/>
      <c r="D9" s="4"/>
      <c r="E9" s="4"/>
      <c r="F9" s="4" t="s">
        <v>88</v>
      </c>
    </row>
    <row r="10" spans="1:6">
      <c r="A10" s="4"/>
      <c r="B10" s="4"/>
      <c r="C10" s="4"/>
      <c r="D10" s="4"/>
      <c r="E10" s="4" t="s">
        <v>59</v>
      </c>
      <c r="F10" s="4" t="s">
        <v>85</v>
      </c>
    </row>
    <row r="11" spans="1:6">
      <c r="A11" s="4"/>
      <c r="B11" s="4"/>
      <c r="C11" s="4"/>
      <c r="D11" s="4"/>
      <c r="E11" s="4"/>
      <c r="F11" s="4" t="s">
        <v>86</v>
      </c>
    </row>
    <row r="12" spans="1:6">
      <c r="A12" s="4"/>
      <c r="B12" s="4"/>
      <c r="C12" s="4"/>
      <c r="D12" s="4"/>
      <c r="E12" s="4" t="s">
        <v>70</v>
      </c>
      <c r="F12" s="4" t="s">
        <v>87</v>
      </c>
    </row>
    <row r="13" spans="1:6">
      <c r="A13" s="4"/>
      <c r="B13" s="4"/>
      <c r="C13" s="4"/>
      <c r="D13" s="4"/>
      <c r="E13" s="4"/>
      <c r="F13" s="4" t="s">
        <v>88</v>
      </c>
    </row>
    <row r="14" spans="1:6">
      <c r="A14" s="4"/>
      <c r="B14" s="4"/>
      <c r="C14" s="4"/>
      <c r="D14" s="4"/>
      <c r="E14" s="4" t="s">
        <v>79</v>
      </c>
      <c r="F14" s="4" t="s">
        <v>90</v>
      </c>
    </row>
    <row r="15" spans="1:6">
      <c r="A15" s="4"/>
      <c r="B15" s="4"/>
      <c r="C15" s="4"/>
      <c r="D15" s="4"/>
      <c r="E15" s="4"/>
      <c r="F15" s="4" t="s">
        <v>91</v>
      </c>
    </row>
    <row r="16" spans="1:6">
      <c r="A16" s="4"/>
      <c r="B16" s="4"/>
      <c r="C16" s="4"/>
      <c r="D16" s="4"/>
      <c r="E16" s="4" t="s">
        <v>71</v>
      </c>
      <c r="F16" s="4"/>
    </row>
    <row r="17" spans="1:6">
      <c r="A17" s="4"/>
      <c r="B17" s="4"/>
      <c r="C17" s="4"/>
      <c r="D17" s="4"/>
      <c r="E17" s="4"/>
      <c r="F17" s="4"/>
    </row>
    <row r="18" spans="1:6">
      <c r="A18" s="4"/>
      <c r="B18" s="4" t="s">
        <v>56</v>
      </c>
      <c r="C18" s="4"/>
      <c r="D18" s="4" t="s">
        <v>60</v>
      </c>
      <c r="E18" s="4"/>
      <c r="F18" s="4"/>
    </row>
    <row r="19" spans="1:6">
      <c r="A19" s="4"/>
      <c r="B19" s="4"/>
      <c r="C19" s="4"/>
      <c r="D19" s="4" t="s">
        <v>61</v>
      </c>
      <c r="E19" s="4"/>
      <c r="F19" s="4"/>
    </row>
    <row r="20" spans="1:6">
      <c r="A20" s="4"/>
      <c r="B20" s="4"/>
      <c r="C20" s="4"/>
      <c r="D20" s="4" t="s">
        <v>62</v>
      </c>
      <c r="E20" s="4"/>
      <c r="F20" s="4"/>
    </row>
    <row r="21" spans="1:6">
      <c r="A21" s="4"/>
      <c r="B21" s="4"/>
      <c r="C21" s="4"/>
      <c r="D21" s="4" t="s">
        <v>63</v>
      </c>
      <c r="E21" s="4"/>
      <c r="F21" s="4"/>
    </row>
    <row r="22" spans="1:6">
      <c r="A22" s="4"/>
      <c r="B22" s="4"/>
      <c r="C22" s="4"/>
      <c r="D22" s="4"/>
      <c r="E22" s="4"/>
      <c r="F22" s="4"/>
    </row>
    <row r="23" spans="1:6">
      <c r="A23" s="4"/>
      <c r="B23" s="4" t="s">
        <v>77</v>
      </c>
      <c r="C23" s="4"/>
      <c r="D23" s="4" t="s">
        <v>72</v>
      </c>
      <c r="E23" s="4"/>
      <c r="F23" s="4"/>
    </row>
    <row r="24" spans="1:6">
      <c r="A24" s="4"/>
      <c r="B24" s="4"/>
      <c r="C24" s="4"/>
      <c r="D24" s="4" t="s">
        <v>73</v>
      </c>
      <c r="E24" s="4"/>
      <c r="F24" s="4"/>
    </row>
    <row r="25" spans="1:6">
      <c r="A25" s="4"/>
      <c r="B25" s="4"/>
      <c r="C25" s="4"/>
      <c r="D25" s="4" t="s">
        <v>74</v>
      </c>
      <c r="E25" s="4"/>
      <c r="F25" s="4"/>
    </row>
    <row r="26" spans="1:6">
      <c r="A26" s="4"/>
      <c r="B26" s="4"/>
      <c r="C26" s="4"/>
      <c r="D26" s="4" t="s">
        <v>75</v>
      </c>
      <c r="E26" s="4"/>
      <c r="F26" s="4"/>
    </row>
    <row r="27" spans="1:6">
      <c r="A27" s="4"/>
      <c r="B27" s="4"/>
      <c r="C27" s="4"/>
      <c r="D27" s="4" t="s">
        <v>76</v>
      </c>
      <c r="E27" s="4"/>
      <c r="F27" s="4"/>
    </row>
    <row r="28" spans="1:6">
      <c r="A28" s="4"/>
      <c r="B28" s="4"/>
      <c r="C28" s="4"/>
      <c r="D28" s="4"/>
      <c r="E28" s="4"/>
      <c r="F28" s="4"/>
    </row>
    <row r="29" spans="1:6">
      <c r="A29" s="4"/>
      <c r="B29" s="4" t="s">
        <v>78</v>
      </c>
      <c r="C29" s="4"/>
      <c r="D29" s="4" t="s">
        <v>80</v>
      </c>
      <c r="E29" s="4"/>
      <c r="F29" s="4"/>
    </row>
    <row r="30" spans="1:6">
      <c r="A30" s="4"/>
      <c r="B30" s="4"/>
      <c r="C30" s="4"/>
      <c r="D30" s="4" t="s">
        <v>81</v>
      </c>
      <c r="E30" s="4"/>
      <c r="F30" s="4"/>
    </row>
    <row r="31" spans="1:6">
      <c r="A31" s="4"/>
      <c r="B31" s="4"/>
      <c r="C31" s="4"/>
      <c r="D31" s="4" t="s">
        <v>82</v>
      </c>
      <c r="E31" s="4"/>
      <c r="F31" s="4"/>
    </row>
    <row r="32" spans="1:6">
      <c r="A32" s="4"/>
      <c r="B32" s="4"/>
      <c r="C32" s="4"/>
      <c r="D32" s="4" t="s">
        <v>83</v>
      </c>
      <c r="E32" s="4"/>
      <c r="F32" s="4"/>
    </row>
    <row r="33" spans="1:6">
      <c r="A33" s="4"/>
      <c r="B33" s="4"/>
      <c r="C33" s="4"/>
      <c r="D33" s="4" t="s">
        <v>84</v>
      </c>
      <c r="E33" s="4"/>
      <c r="F33" s="4"/>
    </row>
    <row r="34" spans="1:6">
      <c r="A34" s="4"/>
      <c r="B34" s="4"/>
      <c r="C34" s="4"/>
      <c r="D34" s="4"/>
      <c r="E34" s="4"/>
      <c r="F34" s="4"/>
    </row>
    <row r="35" spans="1:6">
      <c r="A35" s="4"/>
      <c r="B35" s="4"/>
      <c r="C35" s="4"/>
      <c r="D35" s="4"/>
      <c r="E35" s="4"/>
      <c r="F35" s="4"/>
    </row>
    <row r="36" spans="1:6">
      <c r="A36" s="4"/>
      <c r="B36" s="4"/>
      <c r="C36" s="4"/>
      <c r="D36" s="4" t="s">
        <v>64</v>
      </c>
      <c r="E36" s="4"/>
      <c r="F36" s="4"/>
    </row>
    <row r="37" spans="1:6">
      <c r="A37" s="4"/>
      <c r="B37" s="4"/>
      <c r="C37" s="4"/>
      <c r="D37" s="4"/>
      <c r="E37" s="4" t="s">
        <v>65</v>
      </c>
      <c r="F37" s="4"/>
    </row>
    <row r="38" spans="1:6">
      <c r="A38" s="4"/>
      <c r="B38" s="4"/>
      <c r="C38" s="4"/>
      <c r="D38" s="4"/>
      <c r="E38" s="4"/>
      <c r="F38" s="4" t="s">
        <v>52</v>
      </c>
    </row>
    <row r="39" spans="1:6">
      <c r="A39" s="4"/>
      <c r="B39" s="4"/>
      <c r="C39" s="4"/>
      <c r="D39" s="4"/>
      <c r="E39" s="4"/>
      <c r="F39" s="4" t="s">
        <v>66</v>
      </c>
    </row>
    <row r="40" spans="1:6">
      <c r="A40" s="4"/>
      <c r="B40" s="4"/>
      <c r="C40" s="4"/>
      <c r="D40" s="4"/>
      <c r="E40" s="4"/>
      <c r="F40" s="4" t="s">
        <v>51</v>
      </c>
    </row>
    <row r="41" spans="1:6">
      <c r="A41" s="4"/>
      <c r="B41" s="4"/>
      <c r="C41" s="4"/>
      <c r="D41" s="4"/>
      <c r="E41" s="4"/>
      <c r="F41" s="4" t="s">
        <v>67</v>
      </c>
    </row>
    <row r="42" spans="1:6">
      <c r="A42" s="4"/>
      <c r="B42" s="4"/>
      <c r="C42" s="4"/>
      <c r="D42" s="4"/>
      <c r="E42" s="4"/>
      <c r="F42" s="4"/>
    </row>
    <row r="43" spans="1:6">
      <c r="A43" s="4"/>
      <c r="B43" s="4"/>
      <c r="C43" s="4"/>
      <c r="D43" s="4"/>
      <c r="E43" s="4" t="s">
        <v>68</v>
      </c>
      <c r="F43" s="4"/>
    </row>
    <row r="44" spans="1:6">
      <c r="A44" s="4"/>
      <c r="B44" s="4"/>
      <c r="C44" s="4"/>
      <c r="D44" s="4"/>
      <c r="E44" s="4"/>
      <c r="F44" s="4" t="s">
        <v>52</v>
      </c>
    </row>
    <row r="45" spans="1:6">
      <c r="A45" s="4"/>
      <c r="B45" s="4"/>
      <c r="C45" s="4"/>
      <c r="D45" s="4"/>
      <c r="E45" s="4"/>
      <c r="F45" s="4" t="s">
        <v>66</v>
      </c>
    </row>
    <row r="46" spans="1:6">
      <c r="A46" s="4"/>
      <c r="B46" s="4"/>
      <c r="C46" s="4"/>
      <c r="D46" s="4"/>
      <c r="E46" s="4"/>
      <c r="F46" s="4" t="s">
        <v>51</v>
      </c>
    </row>
    <row r="47" spans="1:6">
      <c r="A47" s="4"/>
      <c r="B47" s="4"/>
      <c r="C47" s="4"/>
      <c r="D47" s="4"/>
      <c r="E47" s="4"/>
      <c r="F47" s="4" t="s">
        <v>67</v>
      </c>
    </row>
    <row r="48" spans="1:6">
      <c r="A48" s="4"/>
      <c r="B48" s="4"/>
      <c r="C48" s="4"/>
      <c r="D48" s="4"/>
      <c r="E48" s="4"/>
      <c r="F48" s="4"/>
    </row>
    <row r="49" spans="1:6">
      <c r="A49" s="4"/>
      <c r="B49" s="4"/>
      <c r="C49" s="4"/>
      <c r="D49" s="4"/>
      <c r="E49" s="4" t="s">
        <v>69</v>
      </c>
      <c r="F49" s="4"/>
    </row>
    <row r="50" spans="1:6">
      <c r="A50" s="4"/>
      <c r="B50" s="4"/>
      <c r="C50" s="4"/>
      <c r="D50" s="4"/>
      <c r="E50" s="4"/>
      <c r="F50" s="4" t="s">
        <v>52</v>
      </c>
    </row>
    <row r="51" spans="1:6">
      <c r="A51" s="4"/>
      <c r="B51" s="4"/>
      <c r="C51" s="4"/>
      <c r="D51" s="4"/>
      <c r="E51" s="4"/>
      <c r="F51" s="4" t="s">
        <v>66</v>
      </c>
    </row>
    <row r="52" spans="1:6">
      <c r="A52" s="4"/>
      <c r="B52" s="4"/>
      <c r="C52" s="4"/>
      <c r="D52" s="4"/>
      <c r="E52" s="4"/>
      <c r="F52" s="4" t="s">
        <v>51</v>
      </c>
    </row>
    <row r="53" spans="1:6">
      <c r="A53" s="4"/>
      <c r="B53" s="4"/>
      <c r="C53" s="4"/>
      <c r="D53" s="4"/>
      <c r="E53" s="4"/>
      <c r="F53" s="4" t="s">
        <v>67</v>
      </c>
    </row>
    <row r="54" spans="1:6">
      <c r="A54" s="4"/>
      <c r="B54" s="4"/>
      <c r="C54" s="4"/>
      <c r="D54" s="4"/>
      <c r="E54" s="4"/>
      <c r="F54" s="4"/>
    </row>
    <row r="55" spans="1:6">
      <c r="A55" s="4"/>
      <c r="B55" s="4"/>
      <c r="C55" s="4"/>
      <c r="D55" s="4"/>
      <c r="E55" s="4"/>
      <c r="F55" s="4"/>
    </row>
    <row r="101" spans="7:8">
      <c r="G101" t="s">
        <v>89</v>
      </c>
      <c r="H101" t="s">
        <v>89</v>
      </c>
    </row>
    <row r="102" spans="7:8">
      <c r="G102" t="s">
        <v>89</v>
      </c>
      <c r="H102" t="s">
        <v>89</v>
      </c>
    </row>
    <row r="103" spans="7:8">
      <c r="G103" t="s">
        <v>89</v>
      </c>
      <c r="H103" t="s">
        <v>89</v>
      </c>
    </row>
    <row r="104" spans="7:8">
      <c r="G104" t="s">
        <v>89</v>
      </c>
      <c r="H104" t="s">
        <v>89</v>
      </c>
    </row>
    <row r="105" spans="7:8">
      <c r="G105" t="s">
        <v>89</v>
      </c>
    </row>
    <row r="106" spans="7:8">
      <c r="G106" t="s">
        <v>89</v>
      </c>
      <c r="H106" t="s">
        <v>89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6" tint="0.39997558519241921"/>
  </sheetPr>
  <dimension ref="A1:H104"/>
  <sheetViews>
    <sheetView zoomScale="80" zoomScaleNormal="80" workbookViewId="0">
      <selection activeCell="L18" sqref="L18"/>
    </sheetView>
  </sheetViews>
  <sheetFormatPr defaultRowHeight="15.75"/>
  <cols>
    <col min="4" max="4" width="34.875" bestFit="1" customWidth="1"/>
    <col min="5" max="5" width="30.625" bestFit="1" customWidth="1"/>
    <col min="6" max="6" width="26.875" bestFit="1" customWidth="1"/>
    <col min="7" max="8" width="6.5" bestFit="1" customWidth="1"/>
    <col min="9" max="9" width="5.75" bestFit="1" customWidth="1"/>
  </cols>
  <sheetData>
    <row r="1" spans="1:7">
      <c r="A1" s="3" t="s">
        <v>53</v>
      </c>
      <c r="B1" s="3"/>
      <c r="C1" s="3"/>
      <c r="D1" s="3"/>
      <c r="E1" s="3"/>
      <c r="F1" s="3" t="s">
        <v>55</v>
      </c>
    </row>
    <row r="2" spans="1:7">
      <c r="A2" s="3" t="s">
        <v>54</v>
      </c>
      <c r="B2" s="3"/>
      <c r="C2" s="3"/>
      <c r="D2" s="3"/>
      <c r="E2" s="3"/>
      <c r="F2" s="3"/>
    </row>
    <row r="5" spans="1:7">
      <c r="A5" s="4"/>
      <c r="B5" s="4"/>
      <c r="C5" s="4"/>
      <c r="D5" s="4" t="s">
        <v>57</v>
      </c>
      <c r="E5" s="4"/>
      <c r="F5" s="4"/>
      <c r="G5" t="s">
        <v>89</v>
      </c>
    </row>
    <row r="6" spans="1:7">
      <c r="A6" s="4"/>
      <c r="B6" s="4"/>
      <c r="C6" s="4"/>
      <c r="D6" s="4"/>
      <c r="E6" s="4" t="s">
        <v>58</v>
      </c>
      <c r="F6" s="4" t="s">
        <v>85</v>
      </c>
      <c r="G6" t="s">
        <v>89</v>
      </c>
    </row>
    <row r="7" spans="1:7">
      <c r="A7" s="4"/>
      <c r="B7" s="4"/>
      <c r="C7" s="4"/>
      <c r="D7" s="4"/>
      <c r="E7" s="4"/>
      <c r="F7" s="4" t="s">
        <v>86</v>
      </c>
      <c r="G7" t="s">
        <v>89</v>
      </c>
    </row>
    <row r="8" spans="1:7">
      <c r="A8" s="4"/>
      <c r="B8" s="4"/>
      <c r="C8" s="4"/>
      <c r="D8" s="4"/>
      <c r="E8" s="4"/>
      <c r="F8" s="4" t="s">
        <v>87</v>
      </c>
      <c r="G8" t="s">
        <v>89</v>
      </c>
    </row>
    <row r="9" spans="1:7">
      <c r="A9" s="4"/>
      <c r="B9" s="4"/>
      <c r="C9" s="4"/>
      <c r="D9" s="4"/>
      <c r="E9" s="4"/>
      <c r="F9" s="4" t="s">
        <v>88</v>
      </c>
      <c r="G9" t="s">
        <v>89</v>
      </c>
    </row>
    <row r="10" spans="1:7">
      <c r="A10" s="4"/>
      <c r="B10" s="4"/>
      <c r="C10" s="4"/>
      <c r="D10" s="4"/>
      <c r="E10" s="4" t="s">
        <v>59</v>
      </c>
      <c r="F10" s="4" t="s">
        <v>85</v>
      </c>
      <c r="G10" t="s">
        <v>89</v>
      </c>
    </row>
    <row r="11" spans="1:7">
      <c r="A11" s="4"/>
      <c r="B11" s="4"/>
      <c r="C11" s="4"/>
      <c r="D11" s="4"/>
      <c r="E11" s="4"/>
      <c r="F11" s="4" t="s">
        <v>86</v>
      </c>
      <c r="G11" t="s">
        <v>89</v>
      </c>
    </row>
    <row r="12" spans="1:7">
      <c r="A12" s="4"/>
      <c r="B12" s="4"/>
      <c r="C12" s="4"/>
      <c r="D12" s="4"/>
      <c r="E12" s="4" t="s">
        <v>70</v>
      </c>
      <c r="F12" s="4" t="s">
        <v>87</v>
      </c>
      <c r="G12" t="s">
        <v>89</v>
      </c>
    </row>
    <row r="13" spans="1:7">
      <c r="A13" s="4"/>
      <c r="B13" s="4"/>
      <c r="C13" s="4"/>
      <c r="D13" s="4"/>
      <c r="E13" s="4"/>
      <c r="F13" s="4" t="s">
        <v>88</v>
      </c>
      <c r="G13" t="s">
        <v>89</v>
      </c>
    </row>
    <row r="14" spans="1:7">
      <c r="A14" s="4"/>
      <c r="B14" s="4"/>
      <c r="C14" s="4"/>
      <c r="D14" s="4"/>
      <c r="E14" s="4" t="s">
        <v>79</v>
      </c>
      <c r="F14" s="4" t="s">
        <v>90</v>
      </c>
      <c r="G14" t="s">
        <v>89</v>
      </c>
    </row>
    <row r="15" spans="1:7">
      <c r="A15" s="4"/>
      <c r="B15" s="4"/>
      <c r="C15" s="4"/>
      <c r="D15" s="4"/>
      <c r="E15" s="4"/>
      <c r="F15" s="4" t="s">
        <v>91</v>
      </c>
      <c r="G15" t="s">
        <v>89</v>
      </c>
    </row>
    <row r="16" spans="1:7">
      <c r="A16" s="4"/>
      <c r="B16" s="4"/>
      <c r="C16" s="4"/>
      <c r="D16" s="4"/>
      <c r="E16" s="4" t="s">
        <v>71</v>
      </c>
      <c r="F16" s="4"/>
      <c r="G16" t="s">
        <v>186</v>
      </c>
    </row>
    <row r="17" spans="1:7">
      <c r="A17" s="4"/>
      <c r="B17" s="4"/>
      <c r="C17" s="4"/>
      <c r="D17" s="4"/>
      <c r="E17" s="4"/>
      <c r="F17" s="4"/>
      <c r="G17" t="s">
        <v>89</v>
      </c>
    </row>
    <row r="18" spans="1:7">
      <c r="A18" s="4"/>
      <c r="B18" s="4" t="s">
        <v>56</v>
      </c>
      <c r="C18" s="4"/>
      <c r="D18" s="4" t="s">
        <v>60</v>
      </c>
      <c r="E18" s="4"/>
      <c r="F18" s="4"/>
      <c r="G18" t="s">
        <v>89</v>
      </c>
    </row>
    <row r="19" spans="1:7">
      <c r="A19" s="4"/>
      <c r="B19" s="4"/>
      <c r="C19" s="4"/>
      <c r="D19" s="4" t="s">
        <v>61</v>
      </c>
      <c r="E19" s="4"/>
      <c r="F19" s="4"/>
      <c r="G19" t="s">
        <v>89</v>
      </c>
    </row>
    <row r="20" spans="1:7">
      <c r="A20" s="4"/>
      <c r="B20" s="4"/>
      <c r="C20" s="4"/>
      <c r="D20" s="4" t="s">
        <v>62</v>
      </c>
      <c r="E20" s="4"/>
      <c r="F20" s="4"/>
      <c r="G20" t="s">
        <v>89</v>
      </c>
    </row>
    <row r="21" spans="1:7">
      <c r="A21" s="4"/>
      <c r="B21" s="4"/>
      <c r="C21" s="4"/>
      <c r="D21" s="4" t="s">
        <v>63</v>
      </c>
      <c r="E21" s="4"/>
      <c r="F21" s="4"/>
      <c r="G21" t="s">
        <v>89</v>
      </c>
    </row>
    <row r="22" spans="1:7">
      <c r="A22" s="4"/>
      <c r="B22" s="4"/>
      <c r="C22" s="4"/>
      <c r="D22" s="4"/>
      <c r="E22" s="4"/>
      <c r="F22" s="4"/>
      <c r="G22" t="s">
        <v>89</v>
      </c>
    </row>
    <row r="23" spans="1:7">
      <c r="A23" s="4"/>
      <c r="B23" s="4" t="s">
        <v>77</v>
      </c>
      <c r="C23" s="4"/>
      <c r="D23" s="4" t="s">
        <v>72</v>
      </c>
      <c r="E23" s="4"/>
      <c r="F23" s="4"/>
      <c r="G23" t="s">
        <v>89</v>
      </c>
    </row>
    <row r="24" spans="1:7">
      <c r="A24" s="4"/>
      <c r="B24" s="4"/>
      <c r="C24" s="4"/>
      <c r="D24" s="4" t="s">
        <v>73</v>
      </c>
      <c r="E24" s="4"/>
      <c r="F24" s="4"/>
      <c r="G24">
        <v>3152</v>
      </c>
    </row>
    <row r="25" spans="1:7">
      <c r="A25" s="4"/>
      <c r="B25" s="4"/>
      <c r="C25" s="4"/>
      <c r="D25" s="4" t="s">
        <v>74</v>
      </c>
      <c r="E25" s="4"/>
      <c r="F25" s="4"/>
      <c r="G25">
        <v>746</v>
      </c>
    </row>
    <row r="26" spans="1:7">
      <c r="A26" s="4"/>
      <c r="B26" s="4"/>
      <c r="C26" s="4"/>
      <c r="D26" s="4" t="s">
        <v>75</v>
      </c>
      <c r="E26" s="4"/>
      <c r="F26" s="4"/>
      <c r="G26">
        <v>3152</v>
      </c>
    </row>
    <row r="27" spans="1:7">
      <c r="A27" s="4"/>
      <c r="B27" s="4"/>
      <c r="C27" s="4"/>
      <c r="D27" s="4" t="s">
        <v>76</v>
      </c>
      <c r="E27" s="4"/>
      <c r="F27" s="4"/>
      <c r="G27">
        <v>746</v>
      </c>
    </row>
    <row r="28" spans="1:7">
      <c r="A28" s="4"/>
      <c r="B28" s="4"/>
      <c r="C28" s="4"/>
      <c r="D28" s="4"/>
      <c r="E28" s="4"/>
      <c r="F28" s="4"/>
      <c r="G28" t="s">
        <v>89</v>
      </c>
    </row>
    <row r="29" spans="1:7">
      <c r="A29" s="4"/>
      <c r="B29" s="4" t="s">
        <v>78</v>
      </c>
      <c r="C29" s="4"/>
      <c r="D29" s="4" t="s">
        <v>80</v>
      </c>
      <c r="E29" s="4"/>
      <c r="F29" s="4"/>
      <c r="G29" t="s">
        <v>89</v>
      </c>
    </row>
    <row r="30" spans="1:7">
      <c r="A30" s="4"/>
      <c r="B30" s="4"/>
      <c r="C30" s="4"/>
      <c r="D30" s="4" t="s">
        <v>81</v>
      </c>
      <c r="E30" s="4"/>
      <c r="F30" s="4"/>
      <c r="G30" t="s">
        <v>89</v>
      </c>
    </row>
    <row r="31" spans="1:7">
      <c r="A31" s="4"/>
      <c r="B31" s="4"/>
      <c r="C31" s="4"/>
      <c r="D31" s="4" t="s">
        <v>82</v>
      </c>
      <c r="E31" s="4"/>
      <c r="F31" s="4"/>
      <c r="G31" t="s">
        <v>89</v>
      </c>
    </row>
    <row r="32" spans="1:7">
      <c r="A32" s="4"/>
      <c r="B32" s="4"/>
      <c r="C32" s="4"/>
      <c r="D32" s="4" t="s">
        <v>83</v>
      </c>
      <c r="E32" s="4"/>
      <c r="F32" s="4"/>
      <c r="G32" t="s">
        <v>89</v>
      </c>
    </row>
    <row r="33" spans="1:7">
      <c r="A33" s="4"/>
      <c r="B33" s="4"/>
      <c r="C33" s="4"/>
      <c r="D33" s="4" t="s">
        <v>84</v>
      </c>
      <c r="E33" s="4"/>
      <c r="F33" s="4"/>
      <c r="G33" t="s">
        <v>89</v>
      </c>
    </row>
    <row r="34" spans="1:7">
      <c r="A34" s="4"/>
      <c r="B34" s="4"/>
      <c r="C34" s="4"/>
      <c r="D34" s="4"/>
      <c r="E34" s="4"/>
      <c r="F34" s="4"/>
      <c r="G34" t="s">
        <v>89</v>
      </c>
    </row>
    <row r="35" spans="1:7">
      <c r="A35" s="4"/>
      <c r="B35" s="4"/>
      <c r="C35" s="4"/>
      <c r="D35" s="4"/>
      <c r="E35" s="4"/>
      <c r="F35" s="4"/>
      <c r="G35" t="s">
        <v>89</v>
      </c>
    </row>
    <row r="36" spans="1:7">
      <c r="A36" s="4"/>
      <c r="B36" s="4"/>
      <c r="C36" s="4"/>
      <c r="D36" s="4" t="s">
        <v>64</v>
      </c>
      <c r="E36" s="4"/>
      <c r="F36" s="4"/>
      <c r="G36" t="s">
        <v>89</v>
      </c>
    </row>
    <row r="37" spans="1:7">
      <c r="A37" s="4"/>
      <c r="B37" s="4"/>
      <c r="C37" s="4"/>
      <c r="D37" s="4"/>
      <c r="E37" s="4" t="s">
        <v>65</v>
      </c>
      <c r="F37" s="4"/>
      <c r="G37" t="s">
        <v>89</v>
      </c>
    </row>
    <row r="38" spans="1:7">
      <c r="A38" s="4"/>
      <c r="B38" s="4"/>
      <c r="C38" s="4"/>
      <c r="D38" s="4"/>
      <c r="E38" s="4"/>
      <c r="F38" s="4" t="s">
        <v>52</v>
      </c>
      <c r="G38" t="s">
        <v>89</v>
      </c>
    </row>
    <row r="39" spans="1:7">
      <c r="A39" s="4"/>
      <c r="B39" s="4"/>
      <c r="C39" s="4"/>
      <c r="D39" s="4"/>
      <c r="E39" s="4"/>
      <c r="F39" s="4" t="s">
        <v>66</v>
      </c>
      <c r="G39" t="s">
        <v>89</v>
      </c>
    </row>
    <row r="40" spans="1:7">
      <c r="A40" s="4"/>
      <c r="B40" s="4"/>
      <c r="C40" s="4"/>
      <c r="D40" s="4"/>
      <c r="E40" s="4"/>
      <c r="F40" s="4" t="s">
        <v>51</v>
      </c>
      <c r="G40" t="s">
        <v>89</v>
      </c>
    </row>
    <row r="41" spans="1:7">
      <c r="A41" s="4"/>
      <c r="B41" s="4"/>
      <c r="C41" s="4"/>
      <c r="D41" s="4"/>
      <c r="E41" s="4"/>
      <c r="F41" s="4" t="s">
        <v>67</v>
      </c>
      <c r="G41" t="s">
        <v>89</v>
      </c>
    </row>
    <row r="42" spans="1:7">
      <c r="A42" s="4"/>
      <c r="B42" s="4"/>
      <c r="C42" s="4"/>
      <c r="D42" s="4"/>
      <c r="E42" s="4"/>
      <c r="F42" s="4"/>
      <c r="G42" t="s">
        <v>89</v>
      </c>
    </row>
    <row r="43" spans="1:7">
      <c r="A43" s="4"/>
      <c r="B43" s="4"/>
      <c r="C43" s="4"/>
      <c r="D43" s="4"/>
      <c r="E43" s="4" t="s">
        <v>68</v>
      </c>
      <c r="F43" s="4"/>
      <c r="G43" t="s">
        <v>89</v>
      </c>
    </row>
    <row r="44" spans="1:7">
      <c r="A44" s="4"/>
      <c r="B44" s="4"/>
      <c r="C44" s="4"/>
      <c r="D44" s="4"/>
      <c r="E44" s="4"/>
      <c r="F44" s="4" t="s">
        <v>52</v>
      </c>
      <c r="G44" t="s">
        <v>89</v>
      </c>
    </row>
    <row r="45" spans="1:7">
      <c r="A45" s="4"/>
      <c r="B45" s="4"/>
      <c r="C45" s="4"/>
      <c r="D45" s="4"/>
      <c r="E45" s="4"/>
      <c r="F45" s="4" t="s">
        <v>66</v>
      </c>
      <c r="G45" t="s">
        <v>89</v>
      </c>
    </row>
    <row r="46" spans="1:7">
      <c r="A46" s="4"/>
      <c r="B46" s="4"/>
      <c r="C46" s="4"/>
      <c r="D46" s="4"/>
      <c r="E46" s="4"/>
      <c r="F46" s="4" t="s">
        <v>51</v>
      </c>
      <c r="G46" t="s">
        <v>89</v>
      </c>
    </row>
    <row r="47" spans="1:7">
      <c r="A47" s="4"/>
      <c r="B47" s="4"/>
      <c r="C47" s="4"/>
      <c r="D47" s="4"/>
      <c r="E47" s="4"/>
      <c r="F47" s="4" t="s">
        <v>67</v>
      </c>
      <c r="G47" t="s">
        <v>89</v>
      </c>
    </row>
    <row r="48" spans="1:7">
      <c r="A48" s="4"/>
      <c r="B48" s="4"/>
      <c r="C48" s="4"/>
      <c r="D48" s="4"/>
      <c r="E48" s="4"/>
      <c r="F48" s="4"/>
      <c r="G48" t="s">
        <v>89</v>
      </c>
    </row>
    <row r="49" spans="1:7">
      <c r="A49" s="4"/>
      <c r="B49" s="4"/>
      <c r="C49" s="4"/>
      <c r="D49" s="4"/>
      <c r="E49" s="4" t="s">
        <v>69</v>
      </c>
      <c r="F49" s="4"/>
      <c r="G49" t="s">
        <v>89</v>
      </c>
    </row>
    <row r="50" spans="1:7">
      <c r="A50" s="4"/>
      <c r="B50" s="4"/>
      <c r="C50" s="4"/>
      <c r="D50" s="4"/>
      <c r="E50" s="4"/>
      <c r="F50" s="4" t="s">
        <v>52</v>
      </c>
      <c r="G50" t="s">
        <v>89</v>
      </c>
    </row>
    <row r="51" spans="1:7">
      <c r="A51" s="4"/>
      <c r="B51" s="4"/>
      <c r="C51" s="4"/>
      <c r="D51" s="4"/>
      <c r="E51" s="4"/>
      <c r="F51" s="4" t="s">
        <v>66</v>
      </c>
      <c r="G51" t="s">
        <v>89</v>
      </c>
    </row>
    <row r="52" spans="1:7">
      <c r="A52" s="4"/>
      <c r="B52" s="4"/>
      <c r="C52" s="4"/>
      <c r="D52" s="4"/>
      <c r="E52" s="4"/>
      <c r="F52" s="4" t="s">
        <v>51</v>
      </c>
      <c r="G52" t="s">
        <v>89</v>
      </c>
    </row>
    <row r="53" spans="1:7">
      <c r="A53" s="4"/>
      <c r="B53" s="4"/>
      <c r="C53" s="4"/>
      <c r="D53" s="4"/>
      <c r="E53" s="4"/>
      <c r="F53" s="4" t="s">
        <v>67</v>
      </c>
      <c r="G53" t="s">
        <v>89</v>
      </c>
    </row>
    <row r="54" spans="1:7">
      <c r="A54" s="4"/>
      <c r="B54" s="4"/>
      <c r="C54" s="4"/>
      <c r="D54" s="4"/>
      <c r="E54" s="4"/>
      <c r="F54" s="4"/>
      <c r="G54" t="s">
        <v>89</v>
      </c>
    </row>
    <row r="55" spans="1:7">
      <c r="A55" s="4"/>
      <c r="B55" s="4"/>
      <c r="C55" s="4"/>
      <c r="D55" s="4"/>
      <c r="E55" s="4"/>
      <c r="F55" s="4"/>
      <c r="G55" t="s">
        <v>89</v>
      </c>
    </row>
    <row r="56" spans="1:7">
      <c r="G56" t="s">
        <v>89</v>
      </c>
    </row>
    <row r="57" spans="1:7">
      <c r="G57" t="s">
        <v>89</v>
      </c>
    </row>
    <row r="58" spans="1:7">
      <c r="G58" t="s">
        <v>89</v>
      </c>
    </row>
    <row r="59" spans="1:7">
      <c r="G59" t="s">
        <v>89</v>
      </c>
    </row>
    <row r="60" spans="1:7">
      <c r="G60" t="s">
        <v>89</v>
      </c>
    </row>
    <row r="61" spans="1:7">
      <c r="G61" t="s">
        <v>89</v>
      </c>
    </row>
    <row r="62" spans="1:7">
      <c r="G62" t="s">
        <v>89</v>
      </c>
    </row>
    <row r="63" spans="1:7">
      <c r="G63" t="s">
        <v>89</v>
      </c>
    </row>
    <row r="64" spans="1:7">
      <c r="G64" t="s">
        <v>89</v>
      </c>
    </row>
    <row r="65" spans="7:7">
      <c r="G65" t="s">
        <v>89</v>
      </c>
    </row>
    <row r="66" spans="7:7">
      <c r="G66" t="s">
        <v>89</v>
      </c>
    </row>
    <row r="67" spans="7:7">
      <c r="G67" t="s">
        <v>89</v>
      </c>
    </row>
    <row r="68" spans="7:7">
      <c r="G68" t="s">
        <v>89</v>
      </c>
    </row>
    <row r="69" spans="7:7">
      <c r="G69" t="s">
        <v>89</v>
      </c>
    </row>
    <row r="70" spans="7:7">
      <c r="G70" t="s">
        <v>89</v>
      </c>
    </row>
    <row r="71" spans="7:7">
      <c r="G71" t="s">
        <v>89</v>
      </c>
    </row>
    <row r="72" spans="7:7">
      <c r="G72" t="s">
        <v>89</v>
      </c>
    </row>
    <row r="73" spans="7:7">
      <c r="G73" t="s">
        <v>89</v>
      </c>
    </row>
    <row r="74" spans="7:7">
      <c r="G74" t="s">
        <v>89</v>
      </c>
    </row>
    <row r="75" spans="7:7">
      <c r="G75" t="s">
        <v>89</v>
      </c>
    </row>
    <row r="76" spans="7:7">
      <c r="G76" t="s">
        <v>89</v>
      </c>
    </row>
    <row r="77" spans="7:7">
      <c r="G77" t="s">
        <v>89</v>
      </c>
    </row>
    <row r="78" spans="7:7">
      <c r="G78" t="s">
        <v>89</v>
      </c>
    </row>
    <row r="79" spans="7:7">
      <c r="G79" t="s">
        <v>89</v>
      </c>
    </row>
    <row r="80" spans="7:7">
      <c r="G80" t="s">
        <v>89</v>
      </c>
    </row>
    <row r="81" spans="7:7">
      <c r="G81" t="s">
        <v>89</v>
      </c>
    </row>
    <row r="82" spans="7:7">
      <c r="G82" t="s">
        <v>89</v>
      </c>
    </row>
    <row r="83" spans="7:7">
      <c r="G83" t="s">
        <v>89</v>
      </c>
    </row>
    <row r="84" spans="7:7">
      <c r="G84" t="s">
        <v>89</v>
      </c>
    </row>
    <row r="85" spans="7:7">
      <c r="G85" t="s">
        <v>89</v>
      </c>
    </row>
    <row r="86" spans="7:7">
      <c r="G86" t="s">
        <v>89</v>
      </c>
    </row>
    <row r="87" spans="7:7">
      <c r="G87" t="s">
        <v>89</v>
      </c>
    </row>
    <row r="88" spans="7:7">
      <c r="G88" t="s">
        <v>89</v>
      </c>
    </row>
    <row r="89" spans="7:7">
      <c r="G89" t="s">
        <v>89</v>
      </c>
    </row>
    <row r="90" spans="7:7">
      <c r="G90" t="s">
        <v>89</v>
      </c>
    </row>
    <row r="91" spans="7:7">
      <c r="G91" t="s">
        <v>89</v>
      </c>
    </row>
    <row r="92" spans="7:7">
      <c r="G92" t="s">
        <v>89</v>
      </c>
    </row>
    <row r="93" spans="7:7">
      <c r="G93" t="s">
        <v>89</v>
      </c>
    </row>
    <row r="94" spans="7:7">
      <c r="G94" t="s">
        <v>89</v>
      </c>
    </row>
    <row r="95" spans="7:7">
      <c r="G95" t="s">
        <v>89</v>
      </c>
    </row>
    <row r="96" spans="7:7">
      <c r="G96" t="s">
        <v>89</v>
      </c>
    </row>
    <row r="97" spans="7:8">
      <c r="G97" t="s">
        <v>89</v>
      </c>
    </row>
    <row r="98" spans="7:8">
      <c r="G98" t="s">
        <v>89</v>
      </c>
    </row>
    <row r="99" spans="7:8">
      <c r="G99" t="s">
        <v>89</v>
      </c>
    </row>
    <row r="100" spans="7:8">
      <c r="G100" t="s">
        <v>89</v>
      </c>
    </row>
    <row r="101" spans="7:8">
      <c r="G101" t="s">
        <v>89</v>
      </c>
      <c r="H101" t="s">
        <v>89</v>
      </c>
    </row>
    <row r="102" spans="7:8">
      <c r="G102" t="s">
        <v>89</v>
      </c>
      <c r="H102" t="s">
        <v>89</v>
      </c>
    </row>
    <row r="103" spans="7:8">
      <c r="G103" t="s">
        <v>89</v>
      </c>
      <c r="H103" t="s">
        <v>89</v>
      </c>
    </row>
    <row r="104" spans="7:8">
      <c r="G104" t="s">
        <v>89</v>
      </c>
      <c r="H104" t="s">
        <v>89</v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6" tint="0.39997558519241921"/>
  </sheetPr>
  <dimension ref="A1:G104"/>
  <sheetViews>
    <sheetView zoomScale="80" zoomScaleNormal="80" workbookViewId="0">
      <selection activeCell="N53" sqref="N53"/>
    </sheetView>
  </sheetViews>
  <sheetFormatPr defaultRowHeight="15.75"/>
  <cols>
    <col min="4" max="4" width="34.875" bestFit="1" customWidth="1"/>
    <col min="5" max="5" width="30.625" bestFit="1" customWidth="1"/>
    <col min="6" max="6" width="26.875" bestFit="1" customWidth="1"/>
    <col min="7" max="7" width="4.375" bestFit="1" customWidth="1"/>
    <col min="8" max="9" width="5.75" bestFit="1" customWidth="1"/>
  </cols>
  <sheetData>
    <row r="1" spans="1:6">
      <c r="A1" s="3" t="s">
        <v>53</v>
      </c>
      <c r="B1" s="3"/>
      <c r="C1" s="3"/>
      <c r="D1" s="3"/>
      <c r="E1" s="3"/>
      <c r="F1" s="3" t="s">
        <v>55</v>
      </c>
    </row>
    <row r="2" spans="1:6">
      <c r="A2" s="3" t="s">
        <v>54</v>
      </c>
      <c r="B2" s="3"/>
      <c r="C2" s="3"/>
      <c r="D2" s="3"/>
      <c r="E2" s="3"/>
      <c r="F2" s="3"/>
    </row>
    <row r="5" spans="1:6">
      <c r="A5" s="4"/>
      <c r="B5" s="4"/>
      <c r="C5" s="4"/>
      <c r="D5" s="4" t="s">
        <v>57</v>
      </c>
      <c r="E5" s="4"/>
      <c r="F5" s="4"/>
    </row>
    <row r="6" spans="1:6">
      <c r="A6" s="4"/>
      <c r="B6" s="4"/>
      <c r="C6" s="4"/>
      <c r="D6" s="4"/>
      <c r="E6" s="4" t="s">
        <v>58</v>
      </c>
      <c r="F6" s="4" t="s">
        <v>85</v>
      </c>
    </row>
    <row r="7" spans="1:6">
      <c r="A7" s="4"/>
      <c r="B7" s="4"/>
      <c r="C7" s="4"/>
      <c r="D7" s="4"/>
      <c r="E7" s="4"/>
      <c r="F7" s="4" t="s">
        <v>86</v>
      </c>
    </row>
    <row r="8" spans="1:6">
      <c r="A8" s="4"/>
      <c r="B8" s="4"/>
      <c r="C8" s="4"/>
      <c r="D8" s="4"/>
      <c r="E8" s="4"/>
      <c r="F8" s="4" t="s">
        <v>87</v>
      </c>
    </row>
    <row r="9" spans="1:6">
      <c r="A9" s="4"/>
      <c r="B9" s="4"/>
      <c r="C9" s="4"/>
      <c r="D9" s="4"/>
      <c r="E9" s="4"/>
      <c r="F9" s="4" t="s">
        <v>88</v>
      </c>
    </row>
    <row r="10" spans="1:6">
      <c r="A10" s="4"/>
      <c r="B10" s="4"/>
      <c r="C10" s="4"/>
      <c r="D10" s="4"/>
      <c r="E10" s="4" t="s">
        <v>59</v>
      </c>
      <c r="F10" s="4" t="s">
        <v>85</v>
      </c>
    </row>
    <row r="11" spans="1:6">
      <c r="A11" s="4"/>
      <c r="B11" s="4"/>
      <c r="C11" s="4"/>
      <c r="D11" s="4"/>
      <c r="E11" s="4"/>
      <c r="F11" s="4" t="s">
        <v>86</v>
      </c>
    </row>
    <row r="12" spans="1:6">
      <c r="A12" s="4"/>
      <c r="B12" s="4"/>
      <c r="C12" s="4"/>
      <c r="D12" s="4"/>
      <c r="E12" s="4" t="s">
        <v>70</v>
      </c>
      <c r="F12" s="4" t="s">
        <v>87</v>
      </c>
    </row>
    <row r="13" spans="1:6">
      <c r="A13" s="4"/>
      <c r="B13" s="4"/>
      <c r="C13" s="4"/>
      <c r="D13" s="4"/>
      <c r="E13" s="4"/>
      <c r="F13" s="4" t="s">
        <v>88</v>
      </c>
    </row>
    <row r="14" spans="1:6">
      <c r="A14" s="4"/>
      <c r="B14" s="4"/>
      <c r="C14" s="4"/>
      <c r="D14" s="4"/>
      <c r="E14" s="4" t="s">
        <v>79</v>
      </c>
      <c r="F14" s="4" t="s">
        <v>90</v>
      </c>
    </row>
    <row r="15" spans="1:6">
      <c r="A15" s="4"/>
      <c r="B15" s="4"/>
      <c r="C15" s="4"/>
      <c r="D15" s="4"/>
      <c r="E15" s="4"/>
      <c r="F15" s="4" t="s">
        <v>91</v>
      </c>
    </row>
    <row r="16" spans="1:6">
      <c r="A16" s="4"/>
      <c r="B16" s="4"/>
      <c r="C16" s="4"/>
      <c r="D16" s="4"/>
      <c r="E16" s="4" t="s">
        <v>71</v>
      </c>
      <c r="F16" s="4"/>
    </row>
    <row r="17" spans="1:6">
      <c r="A17" s="4"/>
      <c r="B17" s="4"/>
      <c r="C17" s="4"/>
      <c r="D17" s="4"/>
      <c r="E17" s="4"/>
      <c r="F17" s="4"/>
    </row>
    <row r="18" spans="1:6">
      <c r="A18" s="4"/>
      <c r="B18" s="4" t="s">
        <v>56</v>
      </c>
      <c r="C18" s="4"/>
      <c r="D18" s="4" t="s">
        <v>60</v>
      </c>
      <c r="E18" s="4"/>
      <c r="F18" s="4"/>
    </row>
    <row r="19" spans="1:6">
      <c r="A19" s="4"/>
      <c r="B19" s="4"/>
      <c r="C19" s="4"/>
      <c r="D19" s="4" t="s">
        <v>61</v>
      </c>
      <c r="E19" s="4"/>
      <c r="F19" s="4"/>
    </row>
    <row r="20" spans="1:6">
      <c r="A20" s="4"/>
      <c r="B20" s="4"/>
      <c r="C20" s="4"/>
      <c r="D20" s="4" t="s">
        <v>62</v>
      </c>
      <c r="E20" s="4"/>
      <c r="F20" s="4"/>
    </row>
    <row r="21" spans="1:6">
      <c r="A21" s="4"/>
      <c r="B21" s="4"/>
      <c r="C21" s="4"/>
      <c r="D21" s="4" t="s">
        <v>63</v>
      </c>
      <c r="E21" s="4"/>
      <c r="F21" s="4"/>
    </row>
    <row r="22" spans="1:6">
      <c r="A22" s="4"/>
      <c r="B22" s="4"/>
      <c r="C22" s="4"/>
      <c r="D22" s="4"/>
      <c r="E22" s="4"/>
      <c r="F22" s="4"/>
    </row>
    <row r="23" spans="1:6">
      <c r="A23" s="4"/>
      <c r="B23" s="4" t="s">
        <v>77</v>
      </c>
      <c r="C23" s="4"/>
      <c r="D23" s="4" t="s">
        <v>72</v>
      </c>
      <c r="E23" s="4"/>
      <c r="F23" s="4"/>
    </row>
    <row r="24" spans="1:6">
      <c r="A24" s="4"/>
      <c r="B24" s="4"/>
      <c r="C24" s="4"/>
      <c r="D24" s="4" t="s">
        <v>73</v>
      </c>
      <c r="E24" s="4"/>
      <c r="F24" s="4"/>
    </row>
    <row r="25" spans="1:6">
      <c r="A25" s="4"/>
      <c r="B25" s="4"/>
      <c r="C25" s="4"/>
      <c r="D25" s="4" t="s">
        <v>74</v>
      </c>
      <c r="E25" s="4"/>
      <c r="F25" s="4"/>
    </row>
    <row r="26" spans="1:6">
      <c r="A26" s="4"/>
      <c r="B26" s="4"/>
      <c r="C26" s="4"/>
      <c r="D26" s="4" t="s">
        <v>75</v>
      </c>
      <c r="E26" s="4"/>
      <c r="F26" s="4"/>
    </row>
    <row r="27" spans="1:6">
      <c r="A27" s="4"/>
      <c r="B27" s="4"/>
      <c r="C27" s="4"/>
      <c r="D27" s="4" t="s">
        <v>76</v>
      </c>
      <c r="E27" s="4"/>
      <c r="F27" s="4"/>
    </row>
    <row r="28" spans="1:6">
      <c r="A28" s="4"/>
      <c r="B28" s="4"/>
      <c r="C28" s="4"/>
      <c r="D28" s="4"/>
      <c r="E28" s="4"/>
      <c r="F28" s="4"/>
    </row>
    <row r="29" spans="1:6">
      <c r="A29" s="4"/>
      <c r="B29" s="4" t="s">
        <v>78</v>
      </c>
      <c r="C29" s="4"/>
      <c r="D29" s="4" t="s">
        <v>80</v>
      </c>
      <c r="E29" s="4"/>
      <c r="F29" s="4"/>
    </row>
    <row r="30" spans="1:6">
      <c r="A30" s="4"/>
      <c r="B30" s="4"/>
      <c r="C30" s="4"/>
      <c r="D30" s="4" t="s">
        <v>81</v>
      </c>
      <c r="E30" s="4"/>
      <c r="F30" s="4"/>
    </row>
    <row r="31" spans="1:6">
      <c r="A31" s="4"/>
      <c r="B31" s="4"/>
      <c r="C31" s="4"/>
      <c r="D31" s="4" t="s">
        <v>82</v>
      </c>
      <c r="E31" s="4"/>
      <c r="F31" s="4"/>
    </row>
    <row r="32" spans="1:6">
      <c r="A32" s="4"/>
      <c r="B32" s="4"/>
      <c r="C32" s="4"/>
      <c r="D32" s="4" t="s">
        <v>83</v>
      </c>
      <c r="E32" s="4"/>
      <c r="F32" s="4"/>
    </row>
    <row r="33" spans="1:6">
      <c r="A33" s="4"/>
      <c r="B33" s="4"/>
      <c r="C33" s="4"/>
      <c r="D33" s="4" t="s">
        <v>84</v>
      </c>
      <c r="E33" s="4"/>
      <c r="F33" s="4"/>
    </row>
    <row r="34" spans="1:6">
      <c r="A34" s="4"/>
      <c r="B34" s="4"/>
      <c r="C34" s="4"/>
      <c r="D34" s="4"/>
      <c r="E34" s="4"/>
      <c r="F34" s="4"/>
    </row>
    <row r="35" spans="1:6">
      <c r="A35" s="4"/>
      <c r="B35" s="4"/>
      <c r="C35" s="4"/>
      <c r="D35" s="4"/>
      <c r="E35" s="4"/>
      <c r="F35" s="4"/>
    </row>
    <row r="36" spans="1:6">
      <c r="A36" s="4"/>
      <c r="B36" s="4"/>
      <c r="C36" s="4"/>
      <c r="D36" s="4" t="s">
        <v>64</v>
      </c>
      <c r="E36" s="4"/>
      <c r="F36" s="4"/>
    </row>
    <row r="37" spans="1:6">
      <c r="A37" s="4"/>
      <c r="B37" s="4"/>
      <c r="C37" s="4"/>
      <c r="D37" s="4"/>
      <c r="E37" s="4" t="s">
        <v>65</v>
      </c>
      <c r="F37" s="4"/>
    </row>
    <row r="38" spans="1:6">
      <c r="A38" s="4"/>
      <c r="B38" s="4"/>
      <c r="C38" s="4"/>
      <c r="D38" s="4"/>
      <c r="E38" s="4"/>
      <c r="F38" s="4" t="s">
        <v>52</v>
      </c>
    </row>
    <row r="39" spans="1:6">
      <c r="A39" s="4"/>
      <c r="B39" s="4"/>
      <c r="C39" s="4"/>
      <c r="D39" s="4"/>
      <c r="E39" s="4"/>
      <c r="F39" s="4" t="s">
        <v>66</v>
      </c>
    </row>
    <row r="40" spans="1:6">
      <c r="A40" s="4"/>
      <c r="B40" s="4"/>
      <c r="C40" s="4"/>
      <c r="D40" s="4"/>
      <c r="E40" s="4"/>
      <c r="F40" s="4" t="s">
        <v>51</v>
      </c>
    </row>
    <row r="41" spans="1:6">
      <c r="A41" s="4"/>
      <c r="B41" s="4"/>
      <c r="C41" s="4"/>
      <c r="D41" s="4"/>
      <c r="E41" s="4"/>
      <c r="F41" s="4" t="s">
        <v>67</v>
      </c>
    </row>
    <row r="42" spans="1:6">
      <c r="A42" s="4"/>
      <c r="B42" s="4"/>
      <c r="C42" s="4"/>
      <c r="D42" s="4"/>
      <c r="E42" s="4"/>
      <c r="F42" s="4"/>
    </row>
    <row r="43" spans="1:6">
      <c r="A43" s="4"/>
      <c r="B43" s="4"/>
      <c r="C43" s="4"/>
      <c r="D43" s="4"/>
      <c r="E43" s="4" t="s">
        <v>68</v>
      </c>
      <c r="F43" s="4"/>
    </row>
    <row r="44" spans="1:6">
      <c r="A44" s="4"/>
      <c r="B44" s="4"/>
      <c r="C44" s="4"/>
      <c r="D44" s="4"/>
      <c r="E44" s="4"/>
      <c r="F44" s="4" t="s">
        <v>52</v>
      </c>
    </row>
    <row r="45" spans="1:6">
      <c r="A45" s="4"/>
      <c r="B45" s="4"/>
      <c r="C45" s="4"/>
      <c r="D45" s="4"/>
      <c r="E45" s="4"/>
      <c r="F45" s="4" t="s">
        <v>66</v>
      </c>
    </row>
    <row r="46" spans="1:6">
      <c r="A46" s="4"/>
      <c r="B46" s="4"/>
      <c r="C46" s="4"/>
      <c r="D46" s="4"/>
      <c r="E46" s="4"/>
      <c r="F46" s="4" t="s">
        <v>51</v>
      </c>
    </row>
    <row r="47" spans="1:6">
      <c r="A47" s="4"/>
      <c r="B47" s="4"/>
      <c r="C47" s="4"/>
      <c r="D47" s="4"/>
      <c r="E47" s="4"/>
      <c r="F47" s="4" t="s">
        <v>67</v>
      </c>
    </row>
    <row r="48" spans="1:6">
      <c r="A48" s="4"/>
      <c r="B48" s="4"/>
      <c r="C48" s="4"/>
      <c r="D48" s="4"/>
      <c r="E48" s="4"/>
      <c r="F48" s="4"/>
    </row>
    <row r="49" spans="1:6">
      <c r="A49" s="4"/>
      <c r="B49" s="4"/>
      <c r="C49" s="4"/>
      <c r="D49" s="4"/>
      <c r="E49" s="4" t="s">
        <v>69</v>
      </c>
      <c r="F49" s="4"/>
    </row>
    <row r="50" spans="1:6">
      <c r="A50" s="4"/>
      <c r="B50" s="4"/>
      <c r="C50" s="4"/>
      <c r="D50" s="4"/>
      <c r="E50" s="4"/>
      <c r="F50" s="4" t="s">
        <v>52</v>
      </c>
    </row>
    <row r="51" spans="1:6">
      <c r="A51" s="4"/>
      <c r="B51" s="4"/>
      <c r="C51" s="4"/>
      <c r="D51" s="4"/>
      <c r="E51" s="4"/>
      <c r="F51" s="4" t="s">
        <v>66</v>
      </c>
    </row>
    <row r="52" spans="1:6">
      <c r="A52" s="4"/>
      <c r="B52" s="4"/>
      <c r="C52" s="4"/>
      <c r="D52" s="4"/>
      <c r="E52" s="4"/>
      <c r="F52" s="4" t="s">
        <v>51</v>
      </c>
    </row>
    <row r="53" spans="1:6">
      <c r="A53" s="4"/>
      <c r="B53" s="4"/>
      <c r="C53" s="4"/>
      <c r="D53" s="4"/>
      <c r="E53" s="4"/>
      <c r="F53" s="4" t="s">
        <v>67</v>
      </c>
    </row>
    <row r="54" spans="1:6">
      <c r="A54" s="4"/>
      <c r="B54" s="4"/>
      <c r="C54" s="4"/>
      <c r="D54" s="4"/>
      <c r="E54" s="4"/>
      <c r="F54" s="4"/>
    </row>
    <row r="55" spans="1:6">
      <c r="A55" s="4"/>
      <c r="B55" s="4"/>
      <c r="C55" s="4"/>
      <c r="D55" s="4"/>
      <c r="E55" s="4"/>
      <c r="F55" s="4"/>
    </row>
    <row r="101" spans="7:7">
      <c r="G101" t="s">
        <v>89</v>
      </c>
    </row>
    <row r="102" spans="7:7">
      <c r="G102" t="s">
        <v>89</v>
      </c>
    </row>
    <row r="103" spans="7:7">
      <c r="G103" t="s">
        <v>89</v>
      </c>
    </row>
    <row r="104" spans="7:7">
      <c r="G104" t="s">
        <v>89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6" tint="0.39997558519241921"/>
  </sheetPr>
  <dimension ref="A1:G104"/>
  <sheetViews>
    <sheetView zoomScale="80" zoomScaleNormal="80" workbookViewId="0">
      <selection activeCell="E58" sqref="E58"/>
    </sheetView>
  </sheetViews>
  <sheetFormatPr defaultRowHeight="15.75"/>
  <cols>
    <col min="4" max="4" width="34.875" bestFit="1" customWidth="1"/>
    <col min="5" max="5" width="30.625" bestFit="1" customWidth="1"/>
    <col min="6" max="6" width="26.875" bestFit="1" customWidth="1"/>
    <col min="7" max="7" width="6.25" bestFit="1" customWidth="1"/>
    <col min="8" max="9" width="5.75" bestFit="1" customWidth="1"/>
  </cols>
  <sheetData>
    <row r="1" spans="1:7">
      <c r="A1" s="3" t="s">
        <v>53</v>
      </c>
      <c r="B1" s="3"/>
      <c r="C1" s="3"/>
      <c r="D1" s="3"/>
      <c r="E1" s="3"/>
      <c r="F1" s="3" t="s">
        <v>55</v>
      </c>
    </row>
    <row r="2" spans="1:7">
      <c r="A2" s="3" t="s">
        <v>54</v>
      </c>
      <c r="B2" s="3"/>
      <c r="C2" s="3"/>
      <c r="D2" s="3"/>
      <c r="E2" s="3"/>
      <c r="F2" s="3"/>
    </row>
    <row r="5" spans="1:7">
      <c r="A5" s="4"/>
      <c r="B5" s="4"/>
      <c r="C5" s="4"/>
      <c r="D5" s="4" t="s">
        <v>57</v>
      </c>
      <c r="E5" s="4"/>
      <c r="F5" s="4"/>
      <c r="G5" t="s">
        <v>89</v>
      </c>
    </row>
    <row r="6" spans="1:7">
      <c r="A6" s="4"/>
      <c r="B6" s="4"/>
      <c r="C6" s="4"/>
      <c r="D6" s="4"/>
      <c r="E6" s="4" t="s">
        <v>58</v>
      </c>
      <c r="F6" s="4" t="s">
        <v>85</v>
      </c>
      <c r="G6" t="s">
        <v>89</v>
      </c>
    </row>
    <row r="7" spans="1:7">
      <c r="A7" s="4"/>
      <c r="B7" s="4"/>
      <c r="C7" s="4"/>
      <c r="D7" s="4"/>
      <c r="E7" s="4"/>
      <c r="F7" s="4" t="s">
        <v>86</v>
      </c>
      <c r="G7" t="s">
        <v>89</v>
      </c>
    </row>
    <row r="8" spans="1:7">
      <c r="A8" s="4"/>
      <c r="B8" s="4"/>
      <c r="C8" s="4"/>
      <c r="D8" s="4"/>
      <c r="E8" s="4"/>
      <c r="F8" s="4" t="s">
        <v>87</v>
      </c>
      <c r="G8" t="s">
        <v>89</v>
      </c>
    </row>
    <row r="9" spans="1:7">
      <c r="A9" s="4"/>
      <c r="B9" s="4"/>
      <c r="C9" s="4"/>
      <c r="D9" s="4"/>
      <c r="E9" s="4"/>
      <c r="F9" s="4" t="s">
        <v>88</v>
      </c>
      <c r="G9" t="s">
        <v>89</v>
      </c>
    </row>
    <row r="10" spans="1:7">
      <c r="A10" s="4"/>
      <c r="B10" s="4"/>
      <c r="C10" s="4"/>
      <c r="D10" s="4"/>
      <c r="E10" s="4" t="s">
        <v>59</v>
      </c>
      <c r="F10" s="4" t="s">
        <v>85</v>
      </c>
      <c r="G10" t="s">
        <v>89</v>
      </c>
    </row>
    <row r="11" spans="1:7">
      <c r="A11" s="4"/>
      <c r="B11" s="4"/>
      <c r="C11" s="4"/>
      <c r="D11" s="4"/>
      <c r="E11" s="4"/>
      <c r="F11" s="4" t="s">
        <v>86</v>
      </c>
      <c r="G11" t="s">
        <v>89</v>
      </c>
    </row>
    <row r="12" spans="1:7">
      <c r="A12" s="4"/>
      <c r="B12" s="4"/>
      <c r="C12" s="4"/>
      <c r="D12" s="4"/>
      <c r="E12" s="4" t="s">
        <v>70</v>
      </c>
      <c r="F12" s="4" t="s">
        <v>87</v>
      </c>
      <c r="G12" t="s">
        <v>89</v>
      </c>
    </row>
    <row r="13" spans="1:7">
      <c r="A13" s="4"/>
      <c r="B13" s="4"/>
      <c r="C13" s="4"/>
      <c r="D13" s="4"/>
      <c r="E13" s="4"/>
      <c r="F13" s="4" t="s">
        <v>88</v>
      </c>
      <c r="G13" t="s">
        <v>89</v>
      </c>
    </row>
    <row r="14" spans="1:7">
      <c r="A14" s="4"/>
      <c r="B14" s="4"/>
      <c r="C14" s="4"/>
      <c r="D14" s="4"/>
      <c r="E14" s="4" t="s">
        <v>79</v>
      </c>
      <c r="F14" s="4" t="s">
        <v>90</v>
      </c>
      <c r="G14">
        <v>24</v>
      </c>
    </row>
    <row r="15" spans="1:7">
      <c r="A15" s="4"/>
      <c r="B15" s="4"/>
      <c r="C15" s="4"/>
      <c r="D15" s="4"/>
      <c r="E15" s="4"/>
      <c r="F15" s="4" t="s">
        <v>91</v>
      </c>
      <c r="G15">
        <v>0</v>
      </c>
    </row>
    <row r="16" spans="1:7">
      <c r="A16" s="4"/>
      <c r="B16" s="4"/>
      <c r="C16" s="4"/>
      <c r="D16" s="4"/>
      <c r="E16" s="4" t="s">
        <v>71</v>
      </c>
      <c r="F16" s="4"/>
      <c r="G16" t="s">
        <v>89</v>
      </c>
    </row>
    <row r="17" spans="1:7">
      <c r="A17" s="4"/>
      <c r="B17" s="4"/>
      <c r="C17" s="4"/>
      <c r="D17" s="4"/>
      <c r="E17" s="4"/>
      <c r="F17" s="4"/>
      <c r="G17" t="s">
        <v>89</v>
      </c>
    </row>
    <row r="18" spans="1:7">
      <c r="A18" s="4"/>
      <c r="B18" s="4" t="s">
        <v>56</v>
      </c>
      <c r="C18" s="4"/>
      <c r="D18" s="4" t="s">
        <v>60</v>
      </c>
      <c r="E18" s="4"/>
      <c r="F18" s="4"/>
      <c r="G18" t="s">
        <v>89</v>
      </c>
    </row>
    <row r="19" spans="1:7">
      <c r="A19" s="4"/>
      <c r="B19" s="4"/>
      <c r="C19" s="4"/>
      <c r="D19" s="4" t="s">
        <v>61</v>
      </c>
      <c r="E19" s="4"/>
      <c r="F19" s="4"/>
      <c r="G19" t="s">
        <v>89</v>
      </c>
    </row>
    <row r="20" spans="1:7">
      <c r="A20" s="4"/>
      <c r="B20" s="4"/>
      <c r="C20" s="4"/>
      <c r="D20" s="4" t="s">
        <v>62</v>
      </c>
      <c r="E20" s="4"/>
      <c r="F20" s="4"/>
      <c r="G20" t="s">
        <v>89</v>
      </c>
    </row>
    <row r="21" spans="1:7">
      <c r="A21" s="4"/>
      <c r="B21" s="4"/>
      <c r="C21" s="4"/>
      <c r="D21" s="4" t="s">
        <v>63</v>
      </c>
      <c r="E21" s="4"/>
      <c r="F21" s="4"/>
      <c r="G21" t="s">
        <v>89</v>
      </c>
    </row>
    <row r="22" spans="1:7">
      <c r="A22" s="4"/>
      <c r="B22" s="4"/>
      <c r="C22" s="4"/>
      <c r="D22" s="4"/>
      <c r="E22" s="4"/>
      <c r="F22" s="4"/>
      <c r="G22" t="s">
        <v>89</v>
      </c>
    </row>
    <row r="23" spans="1:7">
      <c r="A23" s="4"/>
      <c r="B23" s="4" t="s">
        <v>77</v>
      </c>
      <c r="C23" s="4"/>
      <c r="D23" s="4" t="s">
        <v>72</v>
      </c>
      <c r="E23" s="4"/>
      <c r="F23" s="4"/>
      <c r="G23" t="s">
        <v>89</v>
      </c>
    </row>
    <row r="24" spans="1:7">
      <c r="A24" s="4"/>
      <c r="B24" s="4"/>
      <c r="C24" s="4"/>
      <c r="D24" s="4" t="s">
        <v>73</v>
      </c>
      <c r="E24" s="4"/>
      <c r="F24" s="4"/>
      <c r="G24" t="s">
        <v>89</v>
      </c>
    </row>
    <row r="25" spans="1:7">
      <c r="A25" s="4"/>
      <c r="B25" s="4"/>
      <c r="C25" s="4"/>
      <c r="D25" s="4" t="s">
        <v>74</v>
      </c>
      <c r="E25" s="4"/>
      <c r="F25" s="4"/>
      <c r="G25" t="s">
        <v>89</v>
      </c>
    </row>
    <row r="26" spans="1:7">
      <c r="A26" s="4"/>
      <c r="B26" s="4"/>
      <c r="C26" s="4"/>
      <c r="D26" s="4" t="s">
        <v>75</v>
      </c>
      <c r="E26" s="4"/>
      <c r="F26" s="4"/>
      <c r="G26" t="s">
        <v>89</v>
      </c>
    </row>
    <row r="27" spans="1:7">
      <c r="A27" s="4"/>
      <c r="B27" s="4"/>
      <c r="C27" s="4"/>
      <c r="D27" s="4" t="s">
        <v>76</v>
      </c>
      <c r="E27" s="4"/>
      <c r="F27" s="4"/>
      <c r="G27" t="s">
        <v>89</v>
      </c>
    </row>
    <row r="28" spans="1:7">
      <c r="A28" s="4"/>
      <c r="B28" s="4"/>
      <c r="C28" s="4"/>
      <c r="D28" s="4"/>
      <c r="E28" s="4"/>
      <c r="F28" s="4"/>
      <c r="G28" t="s">
        <v>89</v>
      </c>
    </row>
    <row r="29" spans="1:7">
      <c r="A29" s="4"/>
      <c r="B29" s="4" t="s">
        <v>78</v>
      </c>
      <c r="C29" s="4"/>
      <c r="D29" s="4" t="s">
        <v>80</v>
      </c>
      <c r="E29" s="4"/>
      <c r="F29" s="4"/>
      <c r="G29" t="b">
        <v>1</v>
      </c>
    </row>
    <row r="30" spans="1:7">
      <c r="A30" s="4"/>
      <c r="B30" s="4"/>
      <c r="C30" s="4"/>
      <c r="D30" s="4" t="s">
        <v>81</v>
      </c>
      <c r="E30" s="4"/>
      <c r="F30" s="4"/>
      <c r="G30">
        <v>630</v>
      </c>
    </row>
    <row r="31" spans="1:7">
      <c r="A31" s="4"/>
      <c r="B31" s="4"/>
      <c r="C31" s="4"/>
      <c r="D31" s="4" t="s">
        <v>82</v>
      </c>
      <c r="E31" s="4"/>
      <c r="F31" s="4"/>
      <c r="G31">
        <v>149</v>
      </c>
    </row>
    <row r="32" spans="1:7">
      <c r="A32" s="4"/>
      <c r="B32" s="4"/>
      <c r="C32" s="4"/>
      <c r="D32" s="4" t="s">
        <v>83</v>
      </c>
      <c r="E32" s="4"/>
      <c r="F32" s="4"/>
      <c r="G32">
        <v>630</v>
      </c>
    </row>
    <row r="33" spans="1:7">
      <c r="A33" s="4"/>
      <c r="B33" s="4"/>
      <c r="C33" s="4"/>
      <c r="D33" s="4" t="s">
        <v>84</v>
      </c>
      <c r="E33" s="4"/>
      <c r="F33" s="4"/>
      <c r="G33">
        <v>149</v>
      </c>
    </row>
    <row r="34" spans="1:7">
      <c r="A34" s="4"/>
      <c r="B34" s="4"/>
      <c r="C34" s="4"/>
      <c r="D34" s="4"/>
      <c r="E34" s="4"/>
      <c r="F34" s="4"/>
      <c r="G34" t="s">
        <v>89</v>
      </c>
    </row>
    <row r="35" spans="1:7">
      <c r="A35" s="4"/>
      <c r="B35" s="4"/>
      <c r="C35" s="4"/>
      <c r="D35" s="4"/>
      <c r="E35" s="4"/>
      <c r="F35" s="4"/>
      <c r="G35" t="s">
        <v>89</v>
      </c>
    </row>
    <row r="36" spans="1:7">
      <c r="A36" s="4"/>
      <c r="B36" s="4"/>
      <c r="C36" s="4"/>
      <c r="D36" s="4" t="s">
        <v>64</v>
      </c>
      <c r="E36" s="4"/>
      <c r="F36" s="4"/>
      <c r="G36" t="s">
        <v>89</v>
      </c>
    </row>
    <row r="37" spans="1:7">
      <c r="A37" s="4"/>
      <c r="B37" s="4"/>
      <c r="C37" s="4"/>
      <c r="D37" s="4"/>
      <c r="E37" s="4" t="s">
        <v>65</v>
      </c>
      <c r="F37" s="4"/>
      <c r="G37" t="s">
        <v>89</v>
      </c>
    </row>
    <row r="38" spans="1:7">
      <c r="A38" s="4"/>
      <c r="B38" s="4"/>
      <c r="C38" s="4"/>
      <c r="D38" s="4"/>
      <c r="E38" s="4"/>
      <c r="F38" s="4" t="s">
        <v>52</v>
      </c>
      <c r="G38" t="s">
        <v>89</v>
      </c>
    </row>
    <row r="39" spans="1:7">
      <c r="A39" s="4"/>
      <c r="B39" s="4"/>
      <c r="C39" s="4"/>
      <c r="D39" s="4"/>
      <c r="E39" s="4"/>
      <c r="F39" s="4" t="s">
        <v>66</v>
      </c>
      <c r="G39" t="s">
        <v>89</v>
      </c>
    </row>
    <row r="40" spans="1:7">
      <c r="A40" s="4"/>
      <c r="B40" s="4"/>
      <c r="C40" s="4"/>
      <c r="D40" s="4"/>
      <c r="E40" s="4"/>
      <c r="F40" s="4" t="s">
        <v>51</v>
      </c>
      <c r="G40" t="s">
        <v>89</v>
      </c>
    </row>
    <row r="41" spans="1:7">
      <c r="A41" s="4"/>
      <c r="B41" s="4"/>
      <c r="C41" s="4"/>
      <c r="D41" s="4"/>
      <c r="E41" s="4"/>
      <c r="F41" s="4" t="s">
        <v>67</v>
      </c>
      <c r="G41" t="s">
        <v>89</v>
      </c>
    </row>
    <row r="42" spans="1:7">
      <c r="A42" s="4"/>
      <c r="B42" s="4"/>
      <c r="C42" s="4"/>
      <c r="D42" s="4"/>
      <c r="E42" s="4"/>
      <c r="F42" s="4"/>
      <c r="G42" t="s">
        <v>89</v>
      </c>
    </row>
    <row r="43" spans="1:7">
      <c r="A43" s="4"/>
      <c r="B43" s="4"/>
      <c r="C43" s="4"/>
      <c r="D43" s="4"/>
      <c r="E43" s="4" t="s">
        <v>68</v>
      </c>
      <c r="F43" s="4"/>
      <c r="G43" t="s">
        <v>89</v>
      </c>
    </row>
    <row r="44" spans="1:7">
      <c r="A44" s="4"/>
      <c r="B44" s="4"/>
      <c r="C44" s="4"/>
      <c r="D44" s="4"/>
      <c r="E44" s="4"/>
      <c r="F44" s="4" t="s">
        <v>52</v>
      </c>
      <c r="G44" t="s">
        <v>89</v>
      </c>
    </row>
    <row r="45" spans="1:7">
      <c r="A45" s="4"/>
      <c r="B45" s="4"/>
      <c r="C45" s="4"/>
      <c r="D45" s="4"/>
      <c r="E45" s="4"/>
      <c r="F45" s="4" t="s">
        <v>66</v>
      </c>
      <c r="G45" t="s">
        <v>89</v>
      </c>
    </row>
    <row r="46" spans="1:7">
      <c r="A46" s="4"/>
      <c r="B46" s="4"/>
      <c r="C46" s="4"/>
      <c r="D46" s="4"/>
      <c r="E46" s="4"/>
      <c r="F46" s="4" t="s">
        <v>51</v>
      </c>
      <c r="G46" t="s">
        <v>89</v>
      </c>
    </row>
    <row r="47" spans="1:7">
      <c r="A47" s="4"/>
      <c r="B47" s="4"/>
      <c r="C47" s="4"/>
      <c r="D47" s="4"/>
      <c r="E47" s="4"/>
      <c r="F47" s="4" t="s">
        <v>67</v>
      </c>
      <c r="G47" t="s">
        <v>89</v>
      </c>
    </row>
    <row r="48" spans="1:7">
      <c r="A48" s="4"/>
      <c r="B48" s="4"/>
      <c r="C48" s="4"/>
      <c r="D48" s="4"/>
      <c r="E48" s="4"/>
      <c r="F48" s="4"/>
      <c r="G48" t="s">
        <v>89</v>
      </c>
    </row>
    <row r="49" spans="1:7">
      <c r="A49" s="4"/>
      <c r="B49" s="4"/>
      <c r="C49" s="4"/>
      <c r="D49" s="4"/>
      <c r="E49" s="4" t="s">
        <v>69</v>
      </c>
      <c r="F49" s="4"/>
      <c r="G49" t="s">
        <v>89</v>
      </c>
    </row>
    <row r="50" spans="1:7">
      <c r="A50" s="4"/>
      <c r="B50" s="4"/>
      <c r="C50" s="4"/>
      <c r="D50" s="4"/>
      <c r="E50" s="4"/>
      <c r="F50" s="4" t="s">
        <v>52</v>
      </c>
      <c r="G50" t="s">
        <v>89</v>
      </c>
    </row>
    <row r="51" spans="1:7">
      <c r="A51" s="4"/>
      <c r="B51" s="4"/>
      <c r="C51" s="4"/>
      <c r="D51" s="4"/>
      <c r="E51" s="4"/>
      <c r="F51" s="4" t="s">
        <v>66</v>
      </c>
      <c r="G51" t="s">
        <v>89</v>
      </c>
    </row>
    <row r="52" spans="1:7">
      <c r="A52" s="4"/>
      <c r="B52" s="4"/>
      <c r="C52" s="4"/>
      <c r="D52" s="4"/>
      <c r="E52" s="4"/>
      <c r="F52" s="4" t="s">
        <v>51</v>
      </c>
      <c r="G52" t="s">
        <v>89</v>
      </c>
    </row>
    <row r="53" spans="1:7">
      <c r="A53" s="4"/>
      <c r="B53" s="4"/>
      <c r="C53" s="4"/>
      <c r="D53" s="4"/>
      <c r="E53" s="4"/>
      <c r="F53" s="4" t="s">
        <v>67</v>
      </c>
      <c r="G53" t="s">
        <v>89</v>
      </c>
    </row>
    <row r="54" spans="1:7">
      <c r="A54" s="4"/>
      <c r="B54" s="4"/>
      <c r="C54" s="4"/>
      <c r="D54" s="4"/>
      <c r="E54" s="4"/>
      <c r="F54" s="4"/>
      <c r="G54" t="s">
        <v>89</v>
      </c>
    </row>
    <row r="55" spans="1:7">
      <c r="G55" t="s">
        <v>89</v>
      </c>
    </row>
    <row r="56" spans="1:7">
      <c r="G56" t="s">
        <v>89</v>
      </c>
    </row>
    <row r="57" spans="1:7">
      <c r="G57" t="s">
        <v>89</v>
      </c>
    </row>
    <row r="58" spans="1:7">
      <c r="G58" t="s">
        <v>89</v>
      </c>
    </row>
    <row r="59" spans="1:7">
      <c r="G59" t="s">
        <v>89</v>
      </c>
    </row>
    <row r="60" spans="1:7">
      <c r="G60" t="s">
        <v>89</v>
      </c>
    </row>
    <row r="61" spans="1:7">
      <c r="G61" t="s">
        <v>89</v>
      </c>
    </row>
    <row r="62" spans="1:7">
      <c r="G62" t="s">
        <v>89</v>
      </c>
    </row>
    <row r="63" spans="1:7">
      <c r="G63" t="s">
        <v>89</v>
      </c>
    </row>
    <row r="64" spans="1:7">
      <c r="G64" t="s">
        <v>89</v>
      </c>
    </row>
    <row r="65" spans="7:7">
      <c r="G65" t="s">
        <v>89</v>
      </c>
    </row>
    <row r="66" spans="7:7">
      <c r="G66" t="s">
        <v>89</v>
      </c>
    </row>
    <row r="67" spans="7:7">
      <c r="G67" t="s">
        <v>89</v>
      </c>
    </row>
    <row r="68" spans="7:7">
      <c r="G68" t="s">
        <v>89</v>
      </c>
    </row>
    <row r="69" spans="7:7">
      <c r="G69" t="s">
        <v>89</v>
      </c>
    </row>
    <row r="70" spans="7:7">
      <c r="G70" t="s">
        <v>89</v>
      </c>
    </row>
    <row r="71" spans="7:7">
      <c r="G71" t="s">
        <v>89</v>
      </c>
    </row>
    <row r="72" spans="7:7">
      <c r="G72" t="s">
        <v>89</v>
      </c>
    </row>
    <row r="73" spans="7:7">
      <c r="G73" t="s">
        <v>89</v>
      </c>
    </row>
    <row r="74" spans="7:7">
      <c r="G74" t="s">
        <v>89</v>
      </c>
    </row>
    <row r="75" spans="7:7">
      <c r="G75" t="s">
        <v>89</v>
      </c>
    </row>
    <row r="76" spans="7:7">
      <c r="G76" t="s">
        <v>89</v>
      </c>
    </row>
    <row r="77" spans="7:7">
      <c r="G77" t="s">
        <v>89</v>
      </c>
    </row>
    <row r="78" spans="7:7">
      <c r="G78" t="s">
        <v>89</v>
      </c>
    </row>
    <row r="79" spans="7:7">
      <c r="G79" t="s">
        <v>89</v>
      </c>
    </row>
    <row r="80" spans="7:7">
      <c r="G80" t="s">
        <v>89</v>
      </c>
    </row>
    <row r="81" spans="7:7">
      <c r="G81" t="s">
        <v>89</v>
      </c>
    </row>
    <row r="82" spans="7:7">
      <c r="G82" t="s">
        <v>89</v>
      </c>
    </row>
    <row r="83" spans="7:7">
      <c r="G83" t="s">
        <v>89</v>
      </c>
    </row>
    <row r="84" spans="7:7">
      <c r="G84" t="s">
        <v>89</v>
      </c>
    </row>
    <row r="85" spans="7:7">
      <c r="G85" t="s">
        <v>89</v>
      </c>
    </row>
    <row r="86" spans="7:7">
      <c r="G86" t="s">
        <v>89</v>
      </c>
    </row>
    <row r="87" spans="7:7">
      <c r="G87" t="s">
        <v>89</v>
      </c>
    </row>
    <row r="88" spans="7:7">
      <c r="G88" t="s">
        <v>89</v>
      </c>
    </row>
    <row r="89" spans="7:7">
      <c r="G89" t="s">
        <v>89</v>
      </c>
    </row>
    <row r="90" spans="7:7">
      <c r="G90" t="s">
        <v>89</v>
      </c>
    </row>
    <row r="91" spans="7:7">
      <c r="G91" t="s">
        <v>89</v>
      </c>
    </row>
    <row r="92" spans="7:7">
      <c r="G92" t="s">
        <v>89</v>
      </c>
    </row>
    <row r="93" spans="7:7">
      <c r="G93" t="s">
        <v>89</v>
      </c>
    </row>
    <row r="94" spans="7:7">
      <c r="G94" t="s">
        <v>89</v>
      </c>
    </row>
    <row r="95" spans="7:7">
      <c r="G95" t="s">
        <v>89</v>
      </c>
    </row>
    <row r="96" spans="7:7">
      <c r="G96" t="s">
        <v>89</v>
      </c>
    </row>
    <row r="97" spans="7:7">
      <c r="G97" t="s">
        <v>89</v>
      </c>
    </row>
    <row r="98" spans="7:7">
      <c r="G98" t="s">
        <v>89</v>
      </c>
    </row>
    <row r="99" spans="7:7">
      <c r="G99" t="s">
        <v>89</v>
      </c>
    </row>
    <row r="100" spans="7:7">
      <c r="G100" t="s">
        <v>89</v>
      </c>
    </row>
    <row r="101" spans="7:7">
      <c r="G101" t="s">
        <v>89</v>
      </c>
    </row>
    <row r="102" spans="7:7">
      <c r="G102" t="s">
        <v>89</v>
      </c>
    </row>
    <row r="103" spans="7:7">
      <c r="G103" t="s">
        <v>89</v>
      </c>
    </row>
    <row r="104" spans="7:7">
      <c r="G104" t="s">
        <v>89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6" tint="0.39997558519241921"/>
  </sheetPr>
  <dimension ref="A1:G104"/>
  <sheetViews>
    <sheetView zoomScale="80" zoomScaleNormal="80" workbookViewId="0">
      <selection activeCell="K6" sqref="K6"/>
    </sheetView>
  </sheetViews>
  <sheetFormatPr defaultRowHeight="15.75"/>
  <cols>
    <col min="4" max="4" width="34.875" bestFit="1" customWidth="1"/>
    <col min="5" max="5" width="30.625" bestFit="1" customWidth="1"/>
    <col min="6" max="6" width="26.875" bestFit="1" customWidth="1"/>
    <col min="7" max="9" width="5.75" bestFit="1" customWidth="1"/>
  </cols>
  <sheetData>
    <row r="1" spans="1:6">
      <c r="A1" s="3" t="s">
        <v>53</v>
      </c>
      <c r="B1" s="3"/>
      <c r="C1" s="3"/>
      <c r="D1" s="3"/>
      <c r="E1" s="3"/>
      <c r="F1" s="3" t="s">
        <v>55</v>
      </c>
    </row>
    <row r="2" spans="1:6">
      <c r="A2" s="3" t="s">
        <v>54</v>
      </c>
      <c r="B2" s="3"/>
      <c r="C2" s="3"/>
      <c r="D2" s="3"/>
      <c r="E2" s="3"/>
      <c r="F2" s="3"/>
    </row>
    <row r="5" spans="1:6">
      <c r="A5" s="4"/>
      <c r="B5" s="4"/>
      <c r="C5" s="4"/>
      <c r="D5" s="4" t="s">
        <v>57</v>
      </c>
      <c r="E5" s="4"/>
      <c r="F5" s="4"/>
    </row>
    <row r="6" spans="1:6">
      <c r="A6" s="4"/>
      <c r="B6" s="4"/>
      <c r="C6" s="4"/>
      <c r="D6" s="4"/>
      <c r="E6" s="4" t="s">
        <v>58</v>
      </c>
      <c r="F6" s="4" t="s">
        <v>85</v>
      </c>
    </row>
    <row r="7" spans="1:6">
      <c r="A7" s="4"/>
      <c r="B7" s="4"/>
      <c r="C7" s="4"/>
      <c r="D7" s="4"/>
      <c r="E7" s="4"/>
      <c r="F7" s="4" t="s">
        <v>86</v>
      </c>
    </row>
    <row r="8" spans="1:6">
      <c r="A8" s="4"/>
      <c r="B8" s="4"/>
      <c r="C8" s="4"/>
      <c r="D8" s="4"/>
      <c r="E8" s="4"/>
      <c r="F8" s="4" t="s">
        <v>87</v>
      </c>
    </row>
    <row r="9" spans="1:6">
      <c r="A9" s="4"/>
      <c r="B9" s="4"/>
      <c r="C9" s="4"/>
      <c r="D9" s="4"/>
      <c r="E9" s="4"/>
      <c r="F9" s="4" t="s">
        <v>88</v>
      </c>
    </row>
    <row r="10" spans="1:6">
      <c r="A10" s="4"/>
      <c r="B10" s="4"/>
      <c r="C10" s="4"/>
      <c r="D10" s="4"/>
      <c r="E10" s="4" t="s">
        <v>59</v>
      </c>
      <c r="F10" s="4" t="s">
        <v>85</v>
      </c>
    </row>
    <row r="11" spans="1:6">
      <c r="A11" s="4"/>
      <c r="B11" s="4"/>
      <c r="C11" s="4"/>
      <c r="D11" s="4"/>
      <c r="E11" s="4"/>
      <c r="F11" s="4" t="s">
        <v>86</v>
      </c>
    </row>
    <row r="12" spans="1:6">
      <c r="A12" s="4"/>
      <c r="B12" s="4"/>
      <c r="C12" s="4"/>
      <c r="D12" s="4"/>
      <c r="E12" s="4" t="s">
        <v>70</v>
      </c>
      <c r="F12" s="4" t="s">
        <v>87</v>
      </c>
    </row>
    <row r="13" spans="1:6">
      <c r="A13" s="4"/>
      <c r="B13" s="4"/>
      <c r="C13" s="4"/>
      <c r="D13" s="4"/>
      <c r="E13" s="4"/>
      <c r="F13" s="4" t="s">
        <v>88</v>
      </c>
    </row>
    <row r="14" spans="1:6">
      <c r="A14" s="4"/>
      <c r="B14" s="4"/>
      <c r="C14" s="4"/>
      <c r="D14" s="4"/>
      <c r="E14" s="4" t="s">
        <v>79</v>
      </c>
      <c r="F14" s="4" t="s">
        <v>90</v>
      </c>
    </row>
    <row r="15" spans="1:6">
      <c r="A15" s="4"/>
      <c r="B15" s="4"/>
      <c r="C15" s="4"/>
      <c r="D15" s="4"/>
      <c r="E15" s="4"/>
      <c r="F15" s="4" t="s">
        <v>91</v>
      </c>
    </row>
    <row r="16" spans="1:6">
      <c r="A16" s="4"/>
      <c r="B16" s="4"/>
      <c r="C16" s="4"/>
      <c r="D16" s="4"/>
      <c r="E16" s="4" t="s">
        <v>71</v>
      </c>
      <c r="F16" s="4"/>
    </row>
    <row r="17" spans="1:6">
      <c r="A17" s="4"/>
      <c r="B17" s="4"/>
      <c r="C17" s="4"/>
      <c r="D17" s="4"/>
      <c r="E17" s="4"/>
      <c r="F17" s="4"/>
    </row>
    <row r="18" spans="1:6">
      <c r="A18" s="4"/>
      <c r="B18" s="4" t="s">
        <v>56</v>
      </c>
      <c r="C18" s="4"/>
      <c r="D18" s="4" t="s">
        <v>60</v>
      </c>
      <c r="E18" s="4"/>
      <c r="F18" s="4"/>
    </row>
    <row r="19" spans="1:6">
      <c r="A19" s="4"/>
      <c r="B19" s="4"/>
      <c r="C19" s="4"/>
      <c r="D19" s="4" t="s">
        <v>61</v>
      </c>
      <c r="E19" s="4"/>
      <c r="F19" s="4"/>
    </row>
    <row r="20" spans="1:6">
      <c r="A20" s="4"/>
      <c r="B20" s="4"/>
      <c r="C20" s="4"/>
      <c r="D20" s="4" t="s">
        <v>62</v>
      </c>
      <c r="E20" s="4"/>
      <c r="F20" s="4"/>
    </row>
    <row r="21" spans="1:6">
      <c r="A21" s="4"/>
      <c r="B21" s="4"/>
      <c r="C21" s="4"/>
      <c r="D21" s="4" t="s">
        <v>63</v>
      </c>
      <c r="E21" s="4"/>
      <c r="F21" s="4"/>
    </row>
    <row r="22" spans="1:6">
      <c r="A22" s="4"/>
      <c r="B22" s="4"/>
      <c r="C22" s="4"/>
      <c r="D22" s="4"/>
      <c r="E22" s="4"/>
      <c r="F22" s="4"/>
    </row>
    <row r="23" spans="1:6">
      <c r="A23" s="4"/>
      <c r="B23" s="4" t="s">
        <v>77</v>
      </c>
      <c r="C23" s="4"/>
      <c r="D23" s="4" t="s">
        <v>72</v>
      </c>
      <c r="E23" s="4"/>
      <c r="F23" s="4"/>
    </row>
    <row r="24" spans="1:6">
      <c r="A24" s="4"/>
      <c r="B24" s="4"/>
      <c r="C24" s="4"/>
      <c r="D24" s="4" t="s">
        <v>73</v>
      </c>
      <c r="E24" s="4"/>
      <c r="F24" s="4"/>
    </row>
    <row r="25" spans="1:6">
      <c r="A25" s="4"/>
      <c r="B25" s="4"/>
      <c r="C25" s="4"/>
      <c r="D25" s="4" t="s">
        <v>74</v>
      </c>
      <c r="E25" s="4"/>
      <c r="F25" s="4"/>
    </row>
    <row r="26" spans="1:6">
      <c r="A26" s="4"/>
      <c r="B26" s="4"/>
      <c r="C26" s="4"/>
      <c r="D26" s="4" t="s">
        <v>75</v>
      </c>
      <c r="E26" s="4"/>
      <c r="F26" s="4"/>
    </row>
    <row r="27" spans="1:6">
      <c r="A27" s="4"/>
      <c r="B27" s="4"/>
      <c r="C27" s="4"/>
      <c r="D27" s="4" t="s">
        <v>76</v>
      </c>
      <c r="E27" s="4"/>
      <c r="F27" s="4"/>
    </row>
    <row r="28" spans="1:6">
      <c r="A28" s="4"/>
      <c r="B28" s="4"/>
      <c r="C28" s="4"/>
      <c r="D28" s="4"/>
      <c r="E28" s="4"/>
      <c r="F28" s="4"/>
    </row>
    <row r="29" spans="1:6">
      <c r="A29" s="4"/>
      <c r="B29" s="4" t="s">
        <v>78</v>
      </c>
      <c r="C29" s="4"/>
      <c r="D29" s="4" t="s">
        <v>80</v>
      </c>
      <c r="E29" s="4"/>
      <c r="F29" s="4"/>
    </row>
    <row r="30" spans="1:6">
      <c r="A30" s="4"/>
      <c r="B30" s="4"/>
      <c r="C30" s="4"/>
      <c r="D30" s="4" t="s">
        <v>81</v>
      </c>
      <c r="E30" s="4"/>
      <c r="F30" s="4"/>
    </row>
    <row r="31" spans="1:6">
      <c r="A31" s="4"/>
      <c r="B31" s="4"/>
      <c r="C31" s="4"/>
      <c r="D31" s="4" t="s">
        <v>82</v>
      </c>
      <c r="E31" s="4"/>
      <c r="F31" s="4"/>
    </row>
    <row r="32" spans="1:6">
      <c r="A32" s="4"/>
      <c r="B32" s="4"/>
      <c r="C32" s="4"/>
      <c r="D32" s="4" t="s">
        <v>83</v>
      </c>
      <c r="E32" s="4"/>
      <c r="F32" s="4"/>
    </row>
    <row r="33" spans="1:6">
      <c r="A33" s="4"/>
      <c r="B33" s="4"/>
      <c r="C33" s="4"/>
      <c r="D33" s="4" t="s">
        <v>84</v>
      </c>
      <c r="E33" s="4"/>
      <c r="F33" s="4"/>
    </row>
    <row r="34" spans="1:6">
      <c r="A34" s="4"/>
      <c r="B34" s="4"/>
      <c r="C34" s="4"/>
      <c r="D34" s="4"/>
      <c r="E34" s="4"/>
      <c r="F34" s="4"/>
    </row>
    <row r="35" spans="1:6">
      <c r="A35" s="4"/>
      <c r="B35" s="4"/>
      <c r="C35" s="4"/>
      <c r="D35" s="4"/>
      <c r="E35" s="4"/>
      <c r="F35" s="4"/>
    </row>
    <row r="36" spans="1:6">
      <c r="A36" s="4"/>
      <c r="B36" s="4"/>
      <c r="C36" s="4"/>
      <c r="D36" s="4" t="s">
        <v>64</v>
      </c>
      <c r="E36" s="4"/>
      <c r="F36" s="4"/>
    </row>
    <row r="37" spans="1:6">
      <c r="A37" s="4"/>
      <c r="B37" s="4"/>
      <c r="C37" s="4"/>
      <c r="D37" s="4"/>
      <c r="E37" s="4" t="s">
        <v>65</v>
      </c>
      <c r="F37" s="4"/>
    </row>
    <row r="38" spans="1:6">
      <c r="A38" s="4"/>
      <c r="B38" s="4"/>
      <c r="C38" s="4"/>
      <c r="D38" s="4"/>
      <c r="E38" s="4"/>
      <c r="F38" s="4" t="s">
        <v>52</v>
      </c>
    </row>
    <row r="39" spans="1:6">
      <c r="A39" s="4"/>
      <c r="B39" s="4"/>
      <c r="C39" s="4"/>
      <c r="D39" s="4"/>
      <c r="E39" s="4"/>
      <c r="F39" s="4" t="s">
        <v>66</v>
      </c>
    </row>
    <row r="40" spans="1:6">
      <c r="A40" s="4"/>
      <c r="B40" s="4"/>
      <c r="C40" s="4"/>
      <c r="D40" s="4"/>
      <c r="E40" s="4"/>
      <c r="F40" s="4" t="s">
        <v>51</v>
      </c>
    </row>
    <row r="41" spans="1:6">
      <c r="A41" s="4"/>
      <c r="B41" s="4"/>
      <c r="C41" s="4"/>
      <c r="D41" s="4"/>
      <c r="E41" s="4"/>
      <c r="F41" s="4" t="s">
        <v>67</v>
      </c>
    </row>
    <row r="42" spans="1:6">
      <c r="A42" s="4"/>
      <c r="B42" s="4"/>
      <c r="C42" s="4"/>
      <c r="D42" s="4"/>
      <c r="E42" s="4"/>
      <c r="F42" s="4"/>
    </row>
    <row r="43" spans="1:6">
      <c r="A43" s="4"/>
      <c r="B43" s="4"/>
      <c r="C43" s="4"/>
      <c r="D43" s="4"/>
      <c r="E43" s="4" t="s">
        <v>68</v>
      </c>
      <c r="F43" s="4"/>
    </row>
    <row r="44" spans="1:6">
      <c r="A44" s="4"/>
      <c r="B44" s="4"/>
      <c r="C44" s="4"/>
      <c r="D44" s="4"/>
      <c r="E44" s="4"/>
      <c r="F44" s="4" t="s">
        <v>52</v>
      </c>
    </row>
    <row r="45" spans="1:6">
      <c r="A45" s="4"/>
      <c r="B45" s="4"/>
      <c r="C45" s="4"/>
      <c r="D45" s="4"/>
      <c r="E45" s="4"/>
      <c r="F45" s="4" t="s">
        <v>66</v>
      </c>
    </row>
    <row r="46" spans="1:6">
      <c r="A46" s="4"/>
      <c r="B46" s="4"/>
      <c r="C46" s="4"/>
      <c r="D46" s="4"/>
      <c r="E46" s="4"/>
      <c r="F46" s="4" t="s">
        <v>51</v>
      </c>
    </row>
    <row r="47" spans="1:6">
      <c r="A47" s="4"/>
      <c r="B47" s="4"/>
      <c r="C47" s="4"/>
      <c r="D47" s="4"/>
      <c r="E47" s="4"/>
      <c r="F47" s="4" t="s">
        <v>67</v>
      </c>
    </row>
    <row r="48" spans="1:6">
      <c r="A48" s="4"/>
      <c r="B48" s="4"/>
      <c r="C48" s="4"/>
      <c r="D48" s="4"/>
      <c r="E48" s="4"/>
      <c r="F48" s="4"/>
    </row>
    <row r="49" spans="1:6">
      <c r="A49" s="4"/>
      <c r="B49" s="4"/>
      <c r="C49" s="4"/>
      <c r="D49" s="4"/>
      <c r="E49" s="4" t="s">
        <v>69</v>
      </c>
      <c r="F49" s="4"/>
    </row>
    <row r="50" spans="1:6">
      <c r="A50" s="4"/>
      <c r="B50" s="4"/>
      <c r="C50" s="4"/>
      <c r="D50" s="4"/>
      <c r="E50" s="4"/>
      <c r="F50" s="4" t="s">
        <v>52</v>
      </c>
    </row>
    <row r="51" spans="1:6">
      <c r="A51" s="4"/>
      <c r="B51" s="4"/>
      <c r="C51" s="4"/>
      <c r="D51" s="4"/>
      <c r="E51" s="4"/>
      <c r="F51" s="4" t="s">
        <v>66</v>
      </c>
    </row>
    <row r="52" spans="1:6">
      <c r="A52" s="4"/>
      <c r="B52" s="4"/>
      <c r="C52" s="4"/>
      <c r="D52" s="4"/>
      <c r="E52" s="4"/>
      <c r="F52" s="4" t="s">
        <v>51</v>
      </c>
    </row>
    <row r="53" spans="1:6">
      <c r="A53" s="4"/>
      <c r="B53" s="4"/>
      <c r="C53" s="4"/>
      <c r="D53" s="4"/>
      <c r="E53" s="4"/>
      <c r="F53" s="4" t="s">
        <v>67</v>
      </c>
    </row>
    <row r="54" spans="1:6">
      <c r="A54" s="4"/>
      <c r="B54" s="4"/>
      <c r="C54" s="4"/>
      <c r="D54" s="4"/>
      <c r="E54" s="4"/>
      <c r="F54" s="4"/>
    </row>
    <row r="55" spans="1:6">
      <c r="A55" s="4"/>
      <c r="B55" s="4"/>
      <c r="C55" s="4"/>
      <c r="D55" s="4"/>
      <c r="E55" s="4"/>
      <c r="F55" s="4"/>
    </row>
    <row r="101" spans="7:7">
      <c r="G101" t="s">
        <v>89</v>
      </c>
    </row>
    <row r="102" spans="7:7">
      <c r="G102" t="s">
        <v>89</v>
      </c>
    </row>
    <row r="103" spans="7:7">
      <c r="G103" t="s">
        <v>89</v>
      </c>
    </row>
    <row r="104" spans="7:7">
      <c r="G104" t="s">
        <v>89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8" tint="0.39997558519241921"/>
  </sheetPr>
  <dimension ref="A1:C108"/>
  <sheetViews>
    <sheetView workbookViewId="0">
      <selection activeCell="C5" sqref="C5"/>
    </sheetView>
  </sheetViews>
  <sheetFormatPr defaultRowHeight="15.75"/>
  <cols>
    <col min="1" max="1" width="5.875" bestFit="1" customWidth="1"/>
    <col min="2" max="2" width="32.5" bestFit="1" customWidth="1"/>
    <col min="3" max="3" width="30" bestFit="1" customWidth="1"/>
    <col min="12" max="12" width="10.875" bestFit="1" customWidth="1"/>
  </cols>
  <sheetData>
    <row r="1" spans="1:3">
      <c r="A1">
        <v>21489</v>
      </c>
      <c r="B1" t="s">
        <v>187</v>
      </c>
      <c r="C1" t="s">
        <v>263</v>
      </c>
    </row>
    <row r="2" spans="1:3">
      <c r="A2">
        <v>23795</v>
      </c>
      <c r="B2" t="s">
        <v>264</v>
      </c>
      <c r="C2" t="s">
        <v>265</v>
      </c>
    </row>
    <row r="3" spans="1:3">
      <c r="A3">
        <v>23783</v>
      </c>
      <c r="B3" t="s">
        <v>266</v>
      </c>
      <c r="C3" t="s">
        <v>267</v>
      </c>
    </row>
    <row r="4" spans="1:3">
      <c r="A4">
        <v>24423</v>
      </c>
      <c r="B4" t="s">
        <v>268</v>
      </c>
      <c r="C4" t="s">
        <v>269</v>
      </c>
    </row>
    <row r="5" spans="1:3">
      <c r="A5">
        <v>24531</v>
      </c>
      <c r="B5" t="s">
        <v>270</v>
      </c>
      <c r="C5" t="s">
        <v>271</v>
      </c>
    </row>
    <row r="6" spans="1:3">
      <c r="A6">
        <v>24532</v>
      </c>
      <c r="B6" t="s">
        <v>272</v>
      </c>
      <c r="C6" t="s">
        <v>273</v>
      </c>
    </row>
    <row r="7" spans="1:3">
      <c r="A7">
        <v>24528</v>
      </c>
      <c r="B7" t="s">
        <v>274</v>
      </c>
      <c r="C7" t="s">
        <v>275</v>
      </c>
    </row>
    <row r="8" spans="1:3">
      <c r="A8">
        <v>24526</v>
      </c>
      <c r="B8" t="s">
        <v>276</v>
      </c>
      <c r="C8" t="s">
        <v>277</v>
      </c>
    </row>
    <row r="9" spans="1:3">
      <c r="A9">
        <v>26863</v>
      </c>
      <c r="B9" t="s">
        <v>278</v>
      </c>
      <c r="C9" t="s">
        <v>279</v>
      </c>
    </row>
    <row r="10" spans="1:3">
      <c r="A10">
        <v>24561</v>
      </c>
      <c r="B10" t="s">
        <v>280</v>
      </c>
      <c r="C10" t="s">
        <v>281</v>
      </c>
    </row>
    <row r="11" spans="1:3">
      <c r="A11">
        <v>24570</v>
      </c>
      <c r="B11" t="s">
        <v>282</v>
      </c>
      <c r="C11" t="s">
        <v>283</v>
      </c>
    </row>
    <row r="12" spans="1:3">
      <c r="A12">
        <v>24580</v>
      </c>
      <c r="B12" t="s">
        <v>284</v>
      </c>
      <c r="C12" t="s">
        <v>285</v>
      </c>
    </row>
    <row r="13" spans="1:3">
      <c r="A13">
        <v>24571</v>
      </c>
      <c r="B13" t="s">
        <v>286</v>
      </c>
      <c r="C13" t="s">
        <v>287</v>
      </c>
    </row>
    <row r="14" spans="1:3">
      <c r="A14">
        <v>24572</v>
      </c>
      <c r="B14" t="s">
        <v>288</v>
      </c>
      <c r="C14" t="s">
        <v>289</v>
      </c>
    </row>
    <row r="15" spans="1:3">
      <c r="A15">
        <v>24581</v>
      </c>
      <c r="B15" t="s">
        <v>290</v>
      </c>
      <c r="C15" t="s">
        <v>291</v>
      </c>
    </row>
    <row r="16" spans="1:3">
      <c r="A16">
        <v>24582</v>
      </c>
      <c r="B16" t="s">
        <v>292</v>
      </c>
      <c r="C16" t="s">
        <v>293</v>
      </c>
    </row>
    <row r="17" spans="1:3">
      <c r="A17">
        <v>24583</v>
      </c>
      <c r="B17" t="s">
        <v>294</v>
      </c>
      <c r="C17" t="s">
        <v>295</v>
      </c>
    </row>
    <row r="18" spans="1:3">
      <c r="A18">
        <v>24562</v>
      </c>
      <c r="B18" t="s">
        <v>296</v>
      </c>
      <c r="C18" t="s">
        <v>297</v>
      </c>
    </row>
    <row r="19" spans="1:3">
      <c r="A19">
        <v>24573</v>
      </c>
      <c r="B19" t="s">
        <v>298</v>
      </c>
      <c r="C19" t="s">
        <v>299</v>
      </c>
    </row>
    <row r="20" spans="1:3">
      <c r="A20">
        <v>24563</v>
      </c>
      <c r="B20" t="s">
        <v>300</v>
      </c>
      <c r="C20" t="s">
        <v>301</v>
      </c>
    </row>
    <row r="21" spans="1:3">
      <c r="A21">
        <v>24574</v>
      </c>
      <c r="B21" t="s">
        <v>302</v>
      </c>
      <c r="C21" t="s">
        <v>303</v>
      </c>
    </row>
    <row r="22" spans="1:3">
      <c r="A22">
        <v>24564</v>
      </c>
      <c r="B22" t="s">
        <v>304</v>
      </c>
      <c r="C22" t="s">
        <v>305</v>
      </c>
    </row>
    <row r="23" spans="1:3">
      <c r="A23">
        <v>24575</v>
      </c>
      <c r="B23" t="s">
        <v>306</v>
      </c>
      <c r="C23" t="s">
        <v>307</v>
      </c>
    </row>
    <row r="24" spans="1:3">
      <c r="A24">
        <v>24565</v>
      </c>
      <c r="B24" t="s">
        <v>308</v>
      </c>
      <c r="C24" t="s">
        <v>309</v>
      </c>
    </row>
    <row r="25" spans="1:3">
      <c r="A25">
        <v>24566</v>
      </c>
      <c r="B25" t="s">
        <v>310</v>
      </c>
      <c r="C25" t="s">
        <v>311</v>
      </c>
    </row>
    <row r="26" spans="1:3">
      <c r="A26">
        <v>24576</v>
      </c>
      <c r="B26" t="s">
        <v>312</v>
      </c>
      <c r="C26" t="s">
        <v>313</v>
      </c>
    </row>
    <row r="27" spans="1:3">
      <c r="A27">
        <v>24567</v>
      </c>
      <c r="B27" t="s">
        <v>314</v>
      </c>
      <c r="C27" t="s">
        <v>315</v>
      </c>
    </row>
    <row r="28" spans="1:3">
      <c r="A28">
        <v>24577</v>
      </c>
      <c r="B28" t="s">
        <v>316</v>
      </c>
      <c r="C28" t="s">
        <v>317</v>
      </c>
    </row>
    <row r="29" spans="1:3">
      <c r="A29">
        <v>24568</v>
      </c>
      <c r="B29" t="s">
        <v>318</v>
      </c>
      <c r="C29" t="s">
        <v>319</v>
      </c>
    </row>
    <row r="30" spans="1:3">
      <c r="A30">
        <v>24578</v>
      </c>
      <c r="B30" t="s">
        <v>320</v>
      </c>
      <c r="C30" t="s">
        <v>321</v>
      </c>
    </row>
    <row r="31" spans="1:3">
      <c r="A31">
        <v>24569</v>
      </c>
      <c r="B31" t="s">
        <v>322</v>
      </c>
      <c r="C31" t="s">
        <v>323</v>
      </c>
    </row>
    <row r="32" spans="1:3">
      <c r="A32">
        <v>24579</v>
      </c>
      <c r="B32" t="s">
        <v>324</v>
      </c>
      <c r="C32" t="s">
        <v>325</v>
      </c>
    </row>
    <row r="33" spans="1:3">
      <c r="A33">
        <v>25025</v>
      </c>
      <c r="B33" t="s">
        <v>326</v>
      </c>
      <c r="C33" t="s">
        <v>327</v>
      </c>
    </row>
    <row r="34" spans="1:3">
      <c r="A34">
        <v>25028</v>
      </c>
      <c r="B34" t="s">
        <v>328</v>
      </c>
      <c r="C34" t="s">
        <v>329</v>
      </c>
    </row>
    <row r="35" spans="1:3">
      <c r="A35">
        <v>24503</v>
      </c>
      <c r="B35" t="s">
        <v>330</v>
      </c>
      <c r="C35" t="s">
        <v>331</v>
      </c>
    </row>
    <row r="36" spans="1:3">
      <c r="A36">
        <v>24512</v>
      </c>
      <c r="B36" t="s">
        <v>332</v>
      </c>
      <c r="C36" t="s">
        <v>333</v>
      </c>
    </row>
    <row r="37" spans="1:3">
      <c r="A37">
        <v>24522</v>
      </c>
      <c r="B37" t="s">
        <v>334</v>
      </c>
      <c r="C37" t="s">
        <v>335</v>
      </c>
    </row>
    <row r="38" spans="1:3">
      <c r="A38">
        <v>24513</v>
      </c>
      <c r="B38" t="s">
        <v>336</v>
      </c>
      <c r="C38" t="s">
        <v>337</v>
      </c>
    </row>
    <row r="39" spans="1:3">
      <c r="A39">
        <v>24514</v>
      </c>
      <c r="B39" t="s">
        <v>338</v>
      </c>
      <c r="C39" t="s">
        <v>339</v>
      </c>
    </row>
    <row r="40" spans="1:3">
      <c r="A40">
        <v>24523</v>
      </c>
      <c r="B40" t="s">
        <v>340</v>
      </c>
      <c r="C40" t="s">
        <v>341</v>
      </c>
    </row>
    <row r="41" spans="1:3">
      <c r="A41">
        <v>24524</v>
      </c>
      <c r="B41" t="s">
        <v>342</v>
      </c>
      <c r="C41" t="s">
        <v>343</v>
      </c>
    </row>
    <row r="42" spans="1:3">
      <c r="A42">
        <v>24525</v>
      </c>
      <c r="B42" t="s">
        <v>344</v>
      </c>
      <c r="C42" t="s">
        <v>345</v>
      </c>
    </row>
    <row r="43" spans="1:3">
      <c r="A43">
        <v>24504</v>
      </c>
      <c r="B43" t="s">
        <v>346</v>
      </c>
      <c r="C43" t="s">
        <v>347</v>
      </c>
    </row>
    <row r="44" spans="1:3">
      <c r="A44">
        <v>24515</v>
      </c>
      <c r="B44" t="s">
        <v>348</v>
      </c>
      <c r="C44" t="s">
        <v>349</v>
      </c>
    </row>
    <row r="45" spans="1:3">
      <c r="A45">
        <v>24505</v>
      </c>
      <c r="B45" t="s">
        <v>350</v>
      </c>
      <c r="C45" t="s">
        <v>351</v>
      </c>
    </row>
    <row r="46" spans="1:3">
      <c r="A46">
        <v>24516</v>
      </c>
      <c r="B46" t="s">
        <v>352</v>
      </c>
      <c r="C46" t="s">
        <v>353</v>
      </c>
    </row>
    <row r="47" spans="1:3">
      <c r="A47">
        <v>24506</v>
      </c>
      <c r="B47" t="s">
        <v>354</v>
      </c>
      <c r="C47" t="s">
        <v>355</v>
      </c>
    </row>
    <row r="48" spans="1:3">
      <c r="A48">
        <v>24517</v>
      </c>
      <c r="B48" t="s">
        <v>356</v>
      </c>
      <c r="C48" t="s">
        <v>357</v>
      </c>
    </row>
    <row r="49" spans="1:3">
      <c r="A49">
        <v>24507</v>
      </c>
      <c r="B49" t="s">
        <v>358</v>
      </c>
      <c r="C49" t="s">
        <v>359</v>
      </c>
    </row>
    <row r="50" spans="1:3">
      <c r="A50">
        <v>24508</v>
      </c>
      <c r="B50" t="s">
        <v>360</v>
      </c>
      <c r="C50" t="s">
        <v>361</v>
      </c>
    </row>
    <row r="51" spans="1:3">
      <c r="A51">
        <v>24518</v>
      </c>
      <c r="B51" t="s">
        <v>362</v>
      </c>
      <c r="C51" t="s">
        <v>363</v>
      </c>
    </row>
    <row r="52" spans="1:3">
      <c r="A52">
        <v>24509</v>
      </c>
      <c r="B52" t="s">
        <v>364</v>
      </c>
      <c r="C52" t="s">
        <v>365</v>
      </c>
    </row>
    <row r="53" spans="1:3">
      <c r="A53">
        <v>24519</v>
      </c>
      <c r="B53" t="s">
        <v>366</v>
      </c>
      <c r="C53" t="s">
        <v>367</v>
      </c>
    </row>
    <row r="54" spans="1:3">
      <c r="A54">
        <v>24510</v>
      </c>
      <c r="B54" t="s">
        <v>368</v>
      </c>
      <c r="C54" t="s">
        <v>369</v>
      </c>
    </row>
    <row r="55" spans="1:3">
      <c r="A55">
        <v>24520</v>
      </c>
      <c r="B55" t="s">
        <v>370</v>
      </c>
      <c r="C55" t="s">
        <v>371</v>
      </c>
    </row>
    <row r="56" spans="1:3">
      <c r="A56">
        <v>24511</v>
      </c>
      <c r="B56" t="s">
        <v>372</v>
      </c>
      <c r="C56" t="s">
        <v>373</v>
      </c>
    </row>
    <row r="57" spans="1:3">
      <c r="A57">
        <v>24521</v>
      </c>
      <c r="B57" t="s">
        <v>374</v>
      </c>
      <c r="C57" t="s">
        <v>375</v>
      </c>
    </row>
    <row r="58" spans="1:3">
      <c r="A58">
        <v>24424</v>
      </c>
      <c r="B58" t="s">
        <v>376</v>
      </c>
      <c r="C58" t="s">
        <v>377</v>
      </c>
    </row>
    <row r="59" spans="1:3">
      <c r="A59">
        <v>26864</v>
      </c>
      <c r="B59" t="s">
        <v>378</v>
      </c>
      <c r="C59" t="s">
        <v>379</v>
      </c>
    </row>
    <row r="60" spans="1:3">
      <c r="A60">
        <v>26865</v>
      </c>
      <c r="B60" t="s">
        <v>380</v>
      </c>
      <c r="C60" t="s">
        <v>381</v>
      </c>
    </row>
    <row r="61" spans="1:3">
      <c r="A61">
        <v>28763</v>
      </c>
      <c r="B61" t="s">
        <v>382</v>
      </c>
      <c r="C61" t="s">
        <v>555</v>
      </c>
    </row>
    <row r="62" spans="1:3">
      <c r="A62">
        <v>24533</v>
      </c>
      <c r="B62" t="s">
        <v>383</v>
      </c>
      <c r="C62" t="s">
        <v>384</v>
      </c>
    </row>
    <row r="63" spans="1:3">
      <c r="A63">
        <v>24534</v>
      </c>
      <c r="B63" t="s">
        <v>385</v>
      </c>
      <c r="C63" t="s">
        <v>386</v>
      </c>
    </row>
    <row r="64" spans="1:3">
      <c r="A64">
        <v>24535</v>
      </c>
      <c r="B64" t="s">
        <v>387</v>
      </c>
      <c r="C64" t="s">
        <v>388</v>
      </c>
    </row>
    <row r="65" spans="1:3">
      <c r="A65">
        <v>24536</v>
      </c>
      <c r="B65" t="s">
        <v>389</v>
      </c>
      <c r="C65" t="s">
        <v>390</v>
      </c>
    </row>
    <row r="66" spans="1:3">
      <c r="A66">
        <v>24537</v>
      </c>
      <c r="B66" t="s">
        <v>391</v>
      </c>
      <c r="C66" t="s">
        <v>392</v>
      </c>
    </row>
    <row r="67" spans="1:3">
      <c r="A67">
        <v>24538</v>
      </c>
      <c r="B67" t="s">
        <v>393</v>
      </c>
      <c r="C67" t="s">
        <v>394</v>
      </c>
    </row>
    <row r="68" spans="1:3">
      <c r="A68">
        <v>24539</v>
      </c>
      <c r="B68" t="s">
        <v>395</v>
      </c>
      <c r="C68" t="s">
        <v>396</v>
      </c>
    </row>
    <row r="69" spans="1:3">
      <c r="A69">
        <v>24540</v>
      </c>
      <c r="B69" t="s">
        <v>397</v>
      </c>
      <c r="C69" t="s">
        <v>398</v>
      </c>
    </row>
    <row r="70" spans="1:3">
      <c r="A70">
        <v>24541</v>
      </c>
      <c r="B70" t="s">
        <v>399</v>
      </c>
      <c r="C70" t="s">
        <v>400</v>
      </c>
    </row>
    <row r="71" spans="1:3">
      <c r="A71">
        <v>24542</v>
      </c>
      <c r="B71" t="s">
        <v>401</v>
      </c>
      <c r="C71" t="s">
        <v>402</v>
      </c>
    </row>
    <row r="72" spans="1:3">
      <c r="A72">
        <v>24543</v>
      </c>
      <c r="B72" t="s">
        <v>403</v>
      </c>
      <c r="C72" t="s">
        <v>404</v>
      </c>
    </row>
    <row r="73" spans="1:3">
      <c r="A73">
        <v>24544</v>
      </c>
      <c r="B73" t="s">
        <v>405</v>
      </c>
      <c r="C73" t="s">
        <v>406</v>
      </c>
    </row>
    <row r="74" spans="1:3">
      <c r="A74">
        <v>24545</v>
      </c>
      <c r="B74" t="s">
        <v>407</v>
      </c>
      <c r="C74" t="s">
        <v>408</v>
      </c>
    </row>
    <row r="75" spans="1:3">
      <c r="A75">
        <v>24546</v>
      </c>
      <c r="B75" t="s">
        <v>409</v>
      </c>
      <c r="C75" t="s">
        <v>410</v>
      </c>
    </row>
    <row r="76" spans="1:3">
      <c r="A76">
        <v>24547</v>
      </c>
      <c r="B76" t="s">
        <v>411</v>
      </c>
      <c r="C76" t="s">
        <v>412</v>
      </c>
    </row>
    <row r="77" spans="1:3">
      <c r="A77">
        <v>24548</v>
      </c>
      <c r="B77" t="s">
        <v>413</v>
      </c>
      <c r="C77" t="s">
        <v>414</v>
      </c>
    </row>
    <row r="78" spans="1:3">
      <c r="A78">
        <v>24549</v>
      </c>
      <c r="B78" t="s">
        <v>415</v>
      </c>
      <c r="C78" t="s">
        <v>416</v>
      </c>
    </row>
    <row r="79" spans="1:3">
      <c r="A79">
        <v>24550</v>
      </c>
      <c r="B79" t="s">
        <v>417</v>
      </c>
      <c r="C79" t="s">
        <v>418</v>
      </c>
    </row>
    <row r="80" spans="1:3">
      <c r="A80">
        <v>24551</v>
      </c>
      <c r="B80" t="s">
        <v>419</v>
      </c>
      <c r="C80" t="s">
        <v>420</v>
      </c>
    </row>
    <row r="81" spans="1:3">
      <c r="A81">
        <v>24552</v>
      </c>
      <c r="B81" t="s">
        <v>421</v>
      </c>
      <c r="C81" t="s">
        <v>422</v>
      </c>
    </row>
    <row r="82" spans="1:3">
      <c r="A82">
        <v>24553</v>
      </c>
      <c r="B82" t="s">
        <v>423</v>
      </c>
      <c r="C82" t="s">
        <v>424</v>
      </c>
    </row>
    <row r="83" spans="1:3">
      <c r="A83">
        <v>24554</v>
      </c>
      <c r="B83" t="s">
        <v>425</v>
      </c>
      <c r="C83" t="s">
        <v>426</v>
      </c>
    </row>
    <row r="84" spans="1:3">
      <c r="A84">
        <v>24555</v>
      </c>
      <c r="B84" t="s">
        <v>427</v>
      </c>
      <c r="C84" t="s">
        <v>428</v>
      </c>
    </row>
    <row r="85" spans="1:3">
      <c r="A85">
        <v>24556</v>
      </c>
      <c r="B85" t="s">
        <v>429</v>
      </c>
      <c r="C85" t="s">
        <v>430</v>
      </c>
    </row>
    <row r="86" spans="1:3">
      <c r="A86">
        <v>24557</v>
      </c>
      <c r="B86" t="s">
        <v>431</v>
      </c>
      <c r="C86" t="s">
        <v>432</v>
      </c>
    </row>
    <row r="87" spans="1:3">
      <c r="A87">
        <v>24558</v>
      </c>
      <c r="B87" t="s">
        <v>433</v>
      </c>
      <c r="C87" t="s">
        <v>434</v>
      </c>
    </row>
    <row r="88" spans="1:3">
      <c r="A88">
        <v>28025</v>
      </c>
      <c r="B88" t="s">
        <v>435</v>
      </c>
      <c r="C88" t="s">
        <v>436</v>
      </c>
    </row>
    <row r="89" spans="1:3">
      <c r="A89">
        <v>28026</v>
      </c>
      <c r="B89" t="s">
        <v>437</v>
      </c>
      <c r="C89" t="s">
        <v>438</v>
      </c>
    </row>
    <row r="90" spans="1:3">
      <c r="A90">
        <v>28027</v>
      </c>
      <c r="B90" t="s">
        <v>439</v>
      </c>
      <c r="C90" t="s">
        <v>440</v>
      </c>
    </row>
    <row r="91" spans="1:3">
      <c r="A91">
        <v>28028</v>
      </c>
      <c r="B91" t="s">
        <v>441</v>
      </c>
      <c r="C91" t="s">
        <v>442</v>
      </c>
    </row>
    <row r="92" spans="1:3">
      <c r="A92">
        <v>28029</v>
      </c>
      <c r="B92" t="s">
        <v>443</v>
      </c>
      <c r="C92" t="s">
        <v>444</v>
      </c>
    </row>
    <row r="93" spans="1:3">
      <c r="A93">
        <v>28030</v>
      </c>
      <c r="B93" t="s">
        <v>445</v>
      </c>
      <c r="C93" t="s">
        <v>446</v>
      </c>
    </row>
    <row r="94" spans="1:3">
      <c r="A94">
        <v>28031</v>
      </c>
      <c r="B94" t="s">
        <v>447</v>
      </c>
      <c r="C94" t="s">
        <v>448</v>
      </c>
    </row>
    <row r="95" spans="1:3">
      <c r="A95">
        <v>28032</v>
      </c>
      <c r="B95" t="s">
        <v>449</v>
      </c>
      <c r="C95" t="s">
        <v>450</v>
      </c>
    </row>
    <row r="96" spans="1:3">
      <c r="A96">
        <v>28033</v>
      </c>
      <c r="B96" t="s">
        <v>451</v>
      </c>
      <c r="C96" t="s">
        <v>452</v>
      </c>
    </row>
    <row r="97" spans="1:3">
      <c r="A97">
        <v>28034</v>
      </c>
      <c r="B97" t="s">
        <v>453</v>
      </c>
      <c r="C97" t="s">
        <v>454</v>
      </c>
    </row>
    <row r="98" spans="1:3">
      <c r="A98">
        <v>28035</v>
      </c>
      <c r="B98" t="s">
        <v>455</v>
      </c>
      <c r="C98" t="s">
        <v>456</v>
      </c>
    </row>
    <row r="99" spans="1:3">
      <c r="A99">
        <v>24529</v>
      </c>
      <c r="B99" t="s">
        <v>457</v>
      </c>
      <c r="C99" t="s">
        <v>458</v>
      </c>
    </row>
    <row r="100" spans="1:3">
      <c r="A100">
        <v>24527</v>
      </c>
      <c r="B100" t="s">
        <v>459</v>
      </c>
      <c r="C100" t="s">
        <v>460</v>
      </c>
    </row>
    <row r="101" spans="1:3">
      <c r="A101">
        <v>28036</v>
      </c>
      <c r="B101" t="s">
        <v>461</v>
      </c>
      <c r="C101" t="s">
        <v>462</v>
      </c>
    </row>
    <row r="102" spans="1:3">
      <c r="A102">
        <v>24559</v>
      </c>
      <c r="B102" t="s">
        <v>463</v>
      </c>
      <c r="C102" t="s">
        <v>464</v>
      </c>
    </row>
    <row r="103" spans="1:3">
      <c r="A103">
        <v>24560</v>
      </c>
      <c r="B103" t="s">
        <v>465</v>
      </c>
      <c r="C103" t="s">
        <v>466</v>
      </c>
    </row>
    <row r="104" spans="1:3">
      <c r="A104">
        <v>25026</v>
      </c>
      <c r="B104" t="s">
        <v>467</v>
      </c>
      <c r="C104" t="s">
        <v>468</v>
      </c>
    </row>
    <row r="105" spans="1:3">
      <c r="A105">
        <v>25027</v>
      </c>
      <c r="B105" t="s">
        <v>469</v>
      </c>
      <c r="C105" t="s">
        <v>470</v>
      </c>
    </row>
    <row r="106" spans="1:3">
      <c r="A106">
        <v>24530</v>
      </c>
      <c r="B106" t="s">
        <v>471</v>
      </c>
      <c r="C106" t="s">
        <v>472</v>
      </c>
    </row>
    <row r="107" spans="1:3">
      <c r="A107">
        <v>25024</v>
      </c>
      <c r="B107" t="s">
        <v>473</v>
      </c>
      <c r="C107" t="s">
        <v>474</v>
      </c>
    </row>
    <row r="108" spans="1:3">
      <c r="A108">
        <v>25023</v>
      </c>
      <c r="B108" t="s">
        <v>475</v>
      </c>
      <c r="C108" t="s">
        <v>476</v>
      </c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3"/>
  <dimension ref="A1:C2"/>
  <sheetViews>
    <sheetView workbookViewId="0"/>
  </sheetViews>
  <sheetFormatPr defaultRowHeight="15.75"/>
  <cols>
    <col min="1" max="1" width="1.875" bestFit="1" customWidth="1"/>
    <col min="2" max="2" width="10.125" bestFit="1" customWidth="1"/>
    <col min="3" max="3" width="8.875" bestFit="1" customWidth="1"/>
  </cols>
  <sheetData>
    <row r="1" spans="1:3">
      <c r="A1">
        <v>1</v>
      </c>
      <c r="B1" s="1">
        <v>1</v>
      </c>
      <c r="C1">
        <v>19684.32</v>
      </c>
    </row>
    <row r="2" spans="1:3">
      <c r="A2">
        <v>2</v>
      </c>
      <c r="B2" s="1">
        <v>1</v>
      </c>
      <c r="C2">
        <v>14932.8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9"/>
  <sheetViews>
    <sheetView workbookViewId="0"/>
  </sheetViews>
  <sheetFormatPr defaultRowHeight="15.75"/>
  <cols>
    <col min="1" max="1" width="8.875" bestFit="1" customWidth="1"/>
    <col min="2" max="2" width="10.125" bestFit="1" customWidth="1"/>
    <col min="3" max="3" width="3.875" bestFit="1" customWidth="1"/>
  </cols>
  <sheetData>
    <row r="1" spans="1:3">
      <c r="A1">
        <v>18500101</v>
      </c>
      <c r="B1" s="1">
        <v>42011</v>
      </c>
      <c r="C1">
        <v>780</v>
      </c>
    </row>
    <row r="2" spans="1:3">
      <c r="A2">
        <v>19000101</v>
      </c>
      <c r="B2" s="1">
        <v>42011</v>
      </c>
      <c r="C2">
        <v>780</v>
      </c>
    </row>
    <row r="3" spans="1:3">
      <c r="A3">
        <v>19480101</v>
      </c>
      <c r="B3" s="1">
        <v>42011</v>
      </c>
      <c r="C3">
        <v>781</v>
      </c>
    </row>
    <row r="4" spans="1:3">
      <c r="A4">
        <v>19481201</v>
      </c>
      <c r="B4" s="1">
        <v>42011</v>
      </c>
      <c r="C4">
        <v>782</v>
      </c>
    </row>
    <row r="5" spans="1:3">
      <c r="A5">
        <v>19491101</v>
      </c>
      <c r="B5" s="1">
        <v>42011</v>
      </c>
      <c r="C5">
        <v>783</v>
      </c>
    </row>
    <row r="6" spans="1:3">
      <c r="A6">
        <v>19501001</v>
      </c>
      <c r="B6" s="1">
        <v>42011</v>
      </c>
      <c r="C6">
        <v>786</v>
      </c>
    </row>
    <row r="7" spans="1:3">
      <c r="A7">
        <v>19510701</v>
      </c>
      <c r="B7" s="1">
        <v>42011</v>
      </c>
      <c r="C7">
        <v>789</v>
      </c>
    </row>
    <row r="8" spans="1:3">
      <c r="A8">
        <v>19510801</v>
      </c>
      <c r="B8" s="1">
        <v>42011</v>
      </c>
      <c r="C8">
        <v>789</v>
      </c>
    </row>
    <row r="9" spans="1:3">
      <c r="A9">
        <v>19520401</v>
      </c>
      <c r="B9" s="1">
        <v>42011</v>
      </c>
      <c r="C9">
        <v>792</v>
      </c>
    </row>
    <row r="10" spans="1:3">
      <c r="A10">
        <v>19520601</v>
      </c>
      <c r="B10" s="1">
        <v>42011</v>
      </c>
      <c r="C10">
        <v>792</v>
      </c>
    </row>
    <row r="11" spans="1:3">
      <c r="A11">
        <v>19530101</v>
      </c>
      <c r="B11" s="1">
        <v>42011</v>
      </c>
      <c r="C11">
        <v>796</v>
      </c>
    </row>
    <row r="12" spans="1:3">
      <c r="A12">
        <v>19530401</v>
      </c>
      <c r="B12" s="1">
        <v>42011</v>
      </c>
      <c r="C12">
        <v>796</v>
      </c>
    </row>
    <row r="13" spans="1:3">
      <c r="A13">
        <v>19530901</v>
      </c>
      <c r="B13" s="1">
        <v>42011</v>
      </c>
      <c r="C13">
        <v>800</v>
      </c>
    </row>
    <row r="14" spans="1:3">
      <c r="A14">
        <v>19540101</v>
      </c>
      <c r="B14" s="1">
        <v>42011</v>
      </c>
      <c r="C14">
        <v>800</v>
      </c>
    </row>
    <row r="15" spans="1:3">
      <c r="A15">
        <v>19540501</v>
      </c>
      <c r="B15" s="1">
        <v>42011</v>
      </c>
      <c r="C15">
        <v>804</v>
      </c>
    </row>
    <row r="16" spans="1:3">
      <c r="A16">
        <v>19541001</v>
      </c>
      <c r="B16" s="1">
        <v>42011</v>
      </c>
      <c r="C16">
        <v>804</v>
      </c>
    </row>
    <row r="17" spans="1:3">
      <c r="A17">
        <v>19550101</v>
      </c>
      <c r="B17" s="1">
        <v>42381</v>
      </c>
      <c r="C17">
        <v>807</v>
      </c>
    </row>
    <row r="18" spans="1:3">
      <c r="A18">
        <v>19550701</v>
      </c>
      <c r="B18" s="1">
        <v>42381</v>
      </c>
      <c r="C18">
        <v>807</v>
      </c>
    </row>
    <row r="19" spans="1:3">
      <c r="A19">
        <v>19560401</v>
      </c>
      <c r="B19" s="1">
        <v>42381</v>
      </c>
      <c r="C19">
        <v>807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C10"/>
  <sheetViews>
    <sheetView workbookViewId="0"/>
  </sheetViews>
  <sheetFormatPr defaultRowHeight="15.75"/>
  <cols>
    <col min="1" max="1" width="2.875" bestFit="1" customWidth="1"/>
    <col min="2" max="2" width="10.125" bestFit="1" customWidth="1"/>
    <col min="3" max="3" width="34.25" bestFit="1" customWidth="1"/>
  </cols>
  <sheetData>
    <row r="1" spans="1:3">
      <c r="A1">
        <v>1</v>
      </c>
      <c r="B1" s="1">
        <v>41640</v>
      </c>
      <c r="C1" t="s">
        <v>240</v>
      </c>
    </row>
    <row r="2" spans="1:3">
      <c r="A2">
        <v>2</v>
      </c>
      <c r="B2" s="1">
        <v>41640</v>
      </c>
      <c r="C2" t="s">
        <v>241</v>
      </c>
    </row>
    <row r="3" spans="1:3">
      <c r="A3">
        <v>3</v>
      </c>
      <c r="B3" s="1">
        <v>41640</v>
      </c>
      <c r="C3" t="s">
        <v>242</v>
      </c>
    </row>
    <row r="4" spans="1:3">
      <c r="A4">
        <v>5</v>
      </c>
      <c r="B4" s="1">
        <v>41640</v>
      </c>
      <c r="C4" t="s">
        <v>243</v>
      </c>
    </row>
    <row r="5" spans="1:3">
      <c r="A5">
        <v>6</v>
      </c>
      <c r="B5" s="1">
        <v>41640</v>
      </c>
      <c r="C5" t="s">
        <v>244</v>
      </c>
    </row>
    <row r="6" spans="1:3">
      <c r="A6">
        <v>7</v>
      </c>
      <c r="B6" s="1">
        <v>41640</v>
      </c>
      <c r="C6" t="s">
        <v>245</v>
      </c>
    </row>
    <row r="7" spans="1:3">
      <c r="A7">
        <v>8</v>
      </c>
      <c r="B7" s="1">
        <v>41640</v>
      </c>
      <c r="C7" t="s">
        <v>246</v>
      </c>
    </row>
    <row r="8" spans="1:3">
      <c r="A8">
        <v>9</v>
      </c>
      <c r="B8" s="1">
        <v>41640</v>
      </c>
      <c r="C8" t="s">
        <v>247</v>
      </c>
    </row>
    <row r="9" spans="1:3">
      <c r="A9">
        <v>90</v>
      </c>
      <c r="B9" s="1">
        <v>41640</v>
      </c>
      <c r="C9" t="s">
        <v>248</v>
      </c>
    </row>
    <row r="10" spans="1:3">
      <c r="A10">
        <v>91</v>
      </c>
      <c r="B10" s="1">
        <v>41640</v>
      </c>
      <c r="C10" t="s">
        <v>249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C13"/>
  <sheetViews>
    <sheetView workbookViewId="0"/>
  </sheetViews>
  <sheetFormatPr defaultRowHeight="15.75"/>
  <cols>
    <col min="1" max="1" width="2.875" bestFit="1" customWidth="1"/>
    <col min="2" max="2" width="10.125" bestFit="1" customWidth="1"/>
    <col min="3" max="3" width="36.75" bestFit="1" customWidth="1"/>
  </cols>
  <sheetData>
    <row r="1" spans="1:3">
      <c r="A1">
        <v>1</v>
      </c>
      <c r="B1" s="1">
        <v>41640</v>
      </c>
      <c r="C1" t="s">
        <v>250</v>
      </c>
    </row>
    <row r="2" spans="1:3">
      <c r="A2">
        <v>2</v>
      </c>
      <c r="B2" s="1">
        <v>41640</v>
      </c>
      <c r="C2" t="s">
        <v>251</v>
      </c>
    </row>
    <row r="3" spans="1:3">
      <c r="A3">
        <v>3</v>
      </c>
      <c r="B3" s="1">
        <v>41640</v>
      </c>
      <c r="C3" t="s">
        <v>252</v>
      </c>
    </row>
    <row r="4" spans="1:3">
      <c r="A4">
        <v>4</v>
      </c>
      <c r="B4" s="1">
        <v>41640</v>
      </c>
      <c r="C4" t="s">
        <v>253</v>
      </c>
    </row>
    <row r="5" spans="1:3">
      <c r="A5">
        <v>5</v>
      </c>
      <c r="B5" s="1">
        <v>41640</v>
      </c>
      <c r="C5" t="s">
        <v>254</v>
      </c>
    </row>
    <row r="6" spans="1:3">
      <c r="A6">
        <v>6</v>
      </c>
      <c r="B6" s="1">
        <v>41640</v>
      </c>
      <c r="C6" t="s">
        <v>255</v>
      </c>
    </row>
    <row r="7" spans="1:3">
      <c r="A7">
        <v>7</v>
      </c>
      <c r="B7" s="1">
        <v>41640</v>
      </c>
      <c r="C7" t="s">
        <v>256</v>
      </c>
    </row>
    <row r="8" spans="1:3">
      <c r="A8">
        <v>8</v>
      </c>
      <c r="B8" s="1">
        <v>41640</v>
      </c>
      <c r="C8" t="s">
        <v>257</v>
      </c>
    </row>
    <row r="9" spans="1:3">
      <c r="A9">
        <v>9</v>
      </c>
      <c r="B9" s="1">
        <v>41640</v>
      </c>
      <c r="C9" t="s">
        <v>258</v>
      </c>
    </row>
    <row r="10" spans="1:3">
      <c r="A10">
        <v>12</v>
      </c>
      <c r="B10" s="1">
        <v>41640</v>
      </c>
      <c r="C10" t="s">
        <v>259</v>
      </c>
    </row>
    <row r="11" spans="1:3">
      <c r="A11">
        <v>13</v>
      </c>
      <c r="B11" s="1">
        <v>41640</v>
      </c>
      <c r="C11" t="s">
        <v>260</v>
      </c>
    </row>
    <row r="12" spans="1:3">
      <c r="A12">
        <v>91</v>
      </c>
      <c r="B12" s="1">
        <v>41640</v>
      </c>
      <c r="C12" t="s">
        <v>261</v>
      </c>
    </row>
    <row r="13" spans="1:3">
      <c r="A13">
        <v>92</v>
      </c>
      <c r="B13" s="1">
        <v>41640</v>
      </c>
      <c r="C13" t="s">
        <v>262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C23"/>
  <sheetViews>
    <sheetView workbookViewId="0"/>
  </sheetViews>
  <sheetFormatPr defaultRowHeight="15.75"/>
  <cols>
    <col min="1" max="1" width="2.875" bestFit="1" customWidth="1"/>
    <col min="2" max="2" width="10.125" bestFit="1" customWidth="1"/>
    <col min="3" max="3" width="1.875" bestFit="1" customWidth="1"/>
  </cols>
  <sheetData>
    <row r="1" spans="1:3">
      <c r="A1">
        <v>1</v>
      </c>
      <c r="B1" s="1">
        <v>1</v>
      </c>
      <c r="C1">
        <v>1</v>
      </c>
    </row>
    <row r="2" spans="1:3">
      <c r="A2">
        <v>2</v>
      </c>
      <c r="B2" s="1">
        <v>1</v>
      </c>
      <c r="C2">
        <v>0</v>
      </c>
    </row>
    <row r="3" spans="1:3">
      <c r="A3">
        <v>3</v>
      </c>
      <c r="B3" s="1">
        <v>1</v>
      </c>
      <c r="C3">
        <v>0</v>
      </c>
    </row>
    <row r="4" spans="1:3">
      <c r="A4">
        <v>4</v>
      </c>
      <c r="B4" s="1">
        <v>1</v>
      </c>
      <c r="C4">
        <v>0</v>
      </c>
    </row>
    <row r="5" spans="1:3">
      <c r="A5">
        <v>5</v>
      </c>
      <c r="B5" s="1">
        <v>1</v>
      </c>
      <c r="C5">
        <v>0</v>
      </c>
    </row>
    <row r="6" spans="1:3">
      <c r="A6">
        <v>6</v>
      </c>
      <c r="B6" s="1">
        <v>1</v>
      </c>
      <c r="C6">
        <v>0</v>
      </c>
    </row>
    <row r="7" spans="1:3">
      <c r="A7">
        <v>7</v>
      </c>
      <c r="B7" s="1">
        <v>1</v>
      </c>
      <c r="C7">
        <v>0</v>
      </c>
    </row>
    <row r="8" spans="1:3">
      <c r="A8">
        <v>8</v>
      </c>
      <c r="B8" s="1">
        <v>1</v>
      </c>
      <c r="C8">
        <v>0</v>
      </c>
    </row>
    <row r="9" spans="1:3">
      <c r="A9">
        <v>9</v>
      </c>
      <c r="B9" s="1">
        <v>1</v>
      </c>
      <c r="C9">
        <v>0</v>
      </c>
    </row>
    <row r="10" spans="1:3">
      <c r="A10">
        <v>10</v>
      </c>
      <c r="B10" s="1">
        <v>1</v>
      </c>
      <c r="C10">
        <v>0</v>
      </c>
    </row>
    <row r="11" spans="1:3">
      <c r="A11">
        <v>11</v>
      </c>
      <c r="B11" s="1">
        <v>1</v>
      </c>
      <c r="C11">
        <v>0</v>
      </c>
    </row>
    <row r="12" spans="1:3">
      <c r="A12">
        <v>12</v>
      </c>
      <c r="B12" s="1">
        <v>1</v>
      </c>
      <c r="C12">
        <v>0</v>
      </c>
    </row>
    <row r="13" spans="1:3">
      <c r="A13">
        <v>13</v>
      </c>
      <c r="B13" s="1">
        <v>1</v>
      </c>
      <c r="C13">
        <v>0</v>
      </c>
    </row>
    <row r="14" spans="1:3">
      <c r="A14">
        <v>14</v>
      </c>
      <c r="B14" s="1">
        <v>1</v>
      </c>
      <c r="C14">
        <v>0</v>
      </c>
    </row>
    <row r="15" spans="1:3">
      <c r="A15">
        <v>17</v>
      </c>
      <c r="B15" s="1">
        <v>1</v>
      </c>
      <c r="C15">
        <v>0</v>
      </c>
    </row>
    <row r="16" spans="1:3">
      <c r="A16">
        <v>18</v>
      </c>
      <c r="B16" s="1">
        <v>1</v>
      </c>
      <c r="C16">
        <v>0</v>
      </c>
    </row>
    <row r="17" spans="1:3">
      <c r="A17">
        <v>19</v>
      </c>
      <c r="B17" s="1">
        <v>1</v>
      </c>
      <c r="C17">
        <v>0</v>
      </c>
    </row>
    <row r="18" spans="1:3">
      <c r="A18">
        <v>78</v>
      </c>
      <c r="B18" s="1">
        <v>1</v>
      </c>
      <c r="C18">
        <v>0</v>
      </c>
    </row>
    <row r="19" spans="1:3">
      <c r="A19">
        <v>79</v>
      </c>
      <c r="B19" s="1">
        <v>1</v>
      </c>
      <c r="C19">
        <v>0</v>
      </c>
    </row>
    <row r="20" spans="1:3">
      <c r="A20">
        <v>80</v>
      </c>
      <c r="B20" s="1">
        <v>1</v>
      </c>
      <c r="C20">
        <v>0</v>
      </c>
    </row>
    <row r="21" spans="1:3">
      <c r="A21">
        <v>81</v>
      </c>
      <c r="B21" s="1">
        <v>1</v>
      </c>
      <c r="C21">
        <v>0</v>
      </c>
    </row>
    <row r="22" spans="1:3">
      <c r="A22">
        <v>82</v>
      </c>
      <c r="B22" s="1">
        <v>1</v>
      </c>
      <c r="C22">
        <v>0</v>
      </c>
    </row>
    <row r="23" spans="1:3">
      <c r="A23">
        <v>99</v>
      </c>
      <c r="B23" s="1">
        <v>1</v>
      </c>
      <c r="C23">
        <v>1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C56"/>
  <sheetViews>
    <sheetView workbookViewId="0"/>
  </sheetViews>
  <sheetFormatPr defaultRowHeight="15.75"/>
  <cols>
    <col min="1" max="1" width="2.875" bestFit="1" customWidth="1"/>
    <col min="2" max="2" width="10.125" bestFit="1" customWidth="1"/>
    <col min="3" max="3" width="5.875" bestFit="1" customWidth="1"/>
  </cols>
  <sheetData>
    <row r="1" spans="1:3">
      <c r="A1">
        <v>15</v>
      </c>
      <c r="B1" s="1">
        <v>42736</v>
      </c>
      <c r="C1">
        <v>11.6</v>
      </c>
    </row>
    <row r="2" spans="1:3">
      <c r="A2">
        <v>16</v>
      </c>
      <c r="B2" s="1">
        <v>42736</v>
      </c>
      <c r="C2">
        <v>11.29</v>
      </c>
    </row>
    <row r="3" spans="1:3">
      <c r="A3">
        <v>17</v>
      </c>
      <c r="B3" s="1">
        <v>42736</v>
      </c>
      <c r="C3">
        <v>11</v>
      </c>
    </row>
    <row r="4" spans="1:3">
      <c r="A4">
        <v>18</v>
      </c>
      <c r="B4" s="1">
        <v>42736</v>
      </c>
      <c r="C4">
        <v>10.71</v>
      </c>
    </row>
    <row r="5" spans="1:3">
      <c r="A5">
        <v>19</v>
      </c>
      <c r="B5" s="1">
        <v>42736</v>
      </c>
      <c r="C5">
        <v>10.43</v>
      </c>
    </row>
    <row r="6" spans="1:3">
      <c r="A6">
        <v>20</v>
      </c>
      <c r="B6" s="1">
        <v>42736</v>
      </c>
      <c r="C6">
        <v>10.15</v>
      </c>
    </row>
    <row r="7" spans="1:3">
      <c r="A7">
        <v>21</v>
      </c>
      <c r="B7" s="1">
        <v>42736</v>
      </c>
      <c r="C7">
        <v>9.89</v>
      </c>
    </row>
    <row r="8" spans="1:3">
      <c r="A8">
        <v>22</v>
      </c>
      <c r="B8" s="1">
        <v>42736</v>
      </c>
      <c r="C8">
        <v>9.6300000000000008</v>
      </c>
    </row>
    <row r="9" spans="1:3">
      <c r="A9">
        <v>23</v>
      </c>
      <c r="B9" s="1">
        <v>42736</v>
      </c>
      <c r="C9">
        <v>9.39</v>
      </c>
    </row>
    <row r="10" spans="1:3">
      <c r="A10">
        <v>24</v>
      </c>
      <c r="B10" s="1">
        <v>42736</v>
      </c>
      <c r="C10">
        <v>9.14</v>
      </c>
    </row>
    <row r="11" spans="1:3">
      <c r="A11">
        <v>25</v>
      </c>
      <c r="B11" s="1">
        <v>42736</v>
      </c>
      <c r="C11">
        <v>8.91</v>
      </c>
    </row>
    <row r="12" spans="1:3">
      <c r="A12">
        <v>26</v>
      </c>
      <c r="B12" s="1">
        <v>42736</v>
      </c>
      <c r="C12">
        <v>8.69</v>
      </c>
    </row>
    <row r="13" spans="1:3">
      <c r="A13">
        <v>27</v>
      </c>
      <c r="B13" s="1">
        <v>42736</v>
      </c>
      <c r="C13">
        <v>8.4700000000000006</v>
      </c>
    </row>
    <row r="14" spans="1:3">
      <c r="A14">
        <v>28</v>
      </c>
      <c r="B14" s="1">
        <v>42736</v>
      </c>
      <c r="C14">
        <v>8.26</v>
      </c>
    </row>
    <row r="15" spans="1:3">
      <c r="A15">
        <v>29</v>
      </c>
      <c r="B15" s="1">
        <v>42736</v>
      </c>
      <c r="C15">
        <v>8.0500000000000007</v>
      </c>
    </row>
    <row r="16" spans="1:3">
      <c r="A16">
        <v>30</v>
      </c>
      <c r="B16" s="1">
        <v>42736</v>
      </c>
      <c r="C16">
        <v>7.85</v>
      </c>
    </row>
    <row r="17" spans="1:3">
      <c r="A17">
        <v>31</v>
      </c>
      <c r="B17" s="1">
        <v>42736</v>
      </c>
      <c r="C17">
        <v>7.66</v>
      </c>
    </row>
    <row r="18" spans="1:3">
      <c r="A18">
        <v>32</v>
      </c>
      <c r="B18" s="1">
        <v>42736</v>
      </c>
      <c r="C18">
        <v>7.47</v>
      </c>
    </row>
    <row r="19" spans="1:3">
      <c r="A19">
        <v>33</v>
      </c>
      <c r="B19" s="1">
        <v>42736</v>
      </c>
      <c r="C19">
        <v>7.29</v>
      </c>
    </row>
    <row r="20" spans="1:3">
      <c r="A20">
        <v>34</v>
      </c>
      <c r="B20" s="1">
        <v>42736</v>
      </c>
      <c r="C20">
        <v>7.12</v>
      </c>
    </row>
    <row r="21" spans="1:3">
      <c r="A21">
        <v>35</v>
      </c>
      <c r="B21" s="1">
        <v>42736</v>
      </c>
      <c r="C21">
        <v>6.95</v>
      </c>
    </row>
    <row r="22" spans="1:3">
      <c r="A22">
        <v>36</v>
      </c>
      <c r="B22" s="1">
        <v>42736</v>
      </c>
      <c r="C22">
        <v>6.79</v>
      </c>
    </row>
    <row r="23" spans="1:3">
      <c r="A23">
        <v>37</v>
      </c>
      <c r="B23" s="1">
        <v>42736</v>
      </c>
      <c r="C23">
        <v>6.64</v>
      </c>
    </row>
    <row r="24" spans="1:3">
      <c r="A24">
        <v>38</v>
      </c>
      <c r="B24" s="1">
        <v>42736</v>
      </c>
      <c r="C24">
        <v>6.49</v>
      </c>
    </row>
    <row r="25" spans="1:3">
      <c r="A25">
        <v>39</v>
      </c>
      <c r="B25" s="1">
        <v>42736</v>
      </c>
      <c r="C25">
        <v>6.34</v>
      </c>
    </row>
    <row r="26" spans="1:3">
      <c r="A26">
        <v>40</v>
      </c>
      <c r="B26" s="1">
        <v>42736</v>
      </c>
      <c r="C26">
        <v>6.2</v>
      </c>
    </row>
    <row r="27" spans="1:3">
      <c r="A27">
        <v>41</v>
      </c>
      <c r="B27" s="1">
        <v>42736</v>
      </c>
      <c r="C27">
        <v>6.07</v>
      </c>
    </row>
    <row r="28" spans="1:3">
      <c r="A28">
        <v>42</v>
      </c>
      <c r="B28" s="1">
        <v>42736</v>
      </c>
      <c r="C28">
        <v>5.94</v>
      </c>
    </row>
    <row r="29" spans="1:3">
      <c r="A29">
        <v>43</v>
      </c>
      <c r="B29" s="1">
        <v>42736</v>
      </c>
      <c r="C29">
        <v>5.82</v>
      </c>
    </row>
    <row r="30" spans="1:3">
      <c r="A30">
        <v>44</v>
      </c>
      <c r="B30" s="1">
        <v>42736</v>
      </c>
      <c r="C30">
        <v>5.7</v>
      </c>
    </row>
    <row r="31" spans="1:3">
      <c r="A31">
        <v>45</v>
      </c>
      <c r="B31" s="1">
        <v>42736</v>
      </c>
      <c r="C31">
        <v>5.59</v>
      </c>
    </row>
    <row r="32" spans="1:3">
      <c r="A32">
        <v>46</v>
      </c>
      <c r="B32" s="1">
        <v>42736</v>
      </c>
      <c r="C32">
        <v>5.49</v>
      </c>
    </row>
    <row r="33" spans="1:3">
      <c r="A33">
        <v>47</v>
      </c>
      <c r="B33" s="1">
        <v>42736</v>
      </c>
      <c r="C33">
        <v>5.39</v>
      </c>
    </row>
    <row r="34" spans="1:3">
      <c r="A34">
        <v>48</v>
      </c>
      <c r="B34" s="1">
        <v>42736</v>
      </c>
      <c r="C34">
        <v>5.3</v>
      </c>
    </row>
    <row r="35" spans="1:3">
      <c r="A35">
        <v>49</v>
      </c>
      <c r="B35" s="1">
        <v>42736</v>
      </c>
      <c r="C35">
        <v>5.21</v>
      </c>
    </row>
    <row r="36" spans="1:3">
      <c r="A36">
        <v>50</v>
      </c>
      <c r="B36" s="1">
        <v>42736</v>
      </c>
      <c r="C36">
        <v>5.12</v>
      </c>
    </row>
    <row r="37" spans="1:3">
      <c r="A37">
        <v>51</v>
      </c>
      <c r="B37" s="1">
        <v>42736</v>
      </c>
      <c r="C37">
        <v>5.05</v>
      </c>
    </row>
    <row r="38" spans="1:3">
      <c r="A38">
        <v>52</v>
      </c>
      <c r="B38" s="1">
        <v>42736</v>
      </c>
      <c r="C38">
        <v>4.97</v>
      </c>
    </row>
    <row r="39" spans="1:3">
      <c r="A39">
        <v>53</v>
      </c>
      <c r="B39" s="1">
        <v>42736</v>
      </c>
      <c r="C39">
        <v>4.9000000000000004</v>
      </c>
    </row>
    <row r="40" spans="1:3">
      <c r="A40">
        <v>54</v>
      </c>
      <c r="B40" s="1">
        <v>42736</v>
      </c>
      <c r="C40">
        <v>4.83</v>
      </c>
    </row>
    <row r="41" spans="1:3">
      <c r="A41">
        <v>55</v>
      </c>
      <c r="B41" s="1">
        <v>42736</v>
      </c>
      <c r="C41">
        <v>4.7699999999999996</v>
      </c>
    </row>
    <row r="42" spans="1:3">
      <c r="A42">
        <v>56</v>
      </c>
      <c r="B42" s="1">
        <v>42736</v>
      </c>
      <c r="C42">
        <v>4.7</v>
      </c>
    </row>
    <row r="43" spans="1:3">
      <c r="A43">
        <v>57</v>
      </c>
      <c r="B43" s="1">
        <v>42736</v>
      </c>
      <c r="C43">
        <v>4.6399999999999997</v>
      </c>
    </row>
    <row r="44" spans="1:3">
      <c r="A44">
        <v>58</v>
      </c>
      <c r="B44" s="1">
        <v>42736</v>
      </c>
      <c r="C44">
        <v>4.58</v>
      </c>
    </row>
    <row r="45" spans="1:3">
      <c r="A45">
        <v>59</v>
      </c>
      <c r="B45" s="1">
        <v>42736</v>
      </c>
      <c r="C45">
        <v>4.53</v>
      </c>
    </row>
    <row r="46" spans="1:3">
      <c r="A46">
        <v>60</v>
      </c>
      <c r="B46" s="1">
        <v>42736</v>
      </c>
      <c r="C46">
        <v>4.4800000000000004</v>
      </c>
    </row>
    <row r="47" spans="1:3">
      <c r="A47">
        <v>61</v>
      </c>
      <c r="B47" s="1">
        <v>42736</v>
      </c>
      <c r="C47">
        <v>4.43</v>
      </c>
    </row>
    <row r="48" spans="1:3">
      <c r="A48">
        <v>62</v>
      </c>
      <c r="B48" s="1">
        <v>42736</v>
      </c>
      <c r="C48">
        <v>4.38</v>
      </c>
    </row>
    <row r="49" spans="1:3">
      <c r="A49">
        <v>63</v>
      </c>
      <c r="B49" s="1">
        <v>42736</v>
      </c>
      <c r="C49">
        <v>4.34</v>
      </c>
    </row>
    <row r="50" spans="1:3">
      <c r="A50">
        <v>64</v>
      </c>
      <c r="B50" s="1">
        <v>42736</v>
      </c>
      <c r="C50">
        <v>4.3</v>
      </c>
    </row>
    <row r="51" spans="1:3">
      <c r="A51">
        <v>65</v>
      </c>
      <c r="B51" s="1">
        <v>42736</v>
      </c>
      <c r="C51">
        <v>4.2699999999999996</v>
      </c>
    </row>
    <row r="52" spans="1:3">
      <c r="A52">
        <v>66</v>
      </c>
      <c r="B52" s="1">
        <v>42736</v>
      </c>
      <c r="C52">
        <v>4.2300000000000004</v>
      </c>
    </row>
    <row r="53" spans="1:3">
      <c r="A53">
        <v>67</v>
      </c>
      <c r="B53" s="1">
        <v>42736</v>
      </c>
      <c r="C53">
        <v>4.2</v>
      </c>
    </row>
    <row r="54" spans="1:3">
      <c r="A54">
        <v>68</v>
      </c>
      <c r="B54" s="1">
        <v>42736</v>
      </c>
      <c r="C54">
        <v>4.3600000000000003</v>
      </c>
    </row>
    <row r="55" spans="1:3">
      <c r="A55">
        <v>69</v>
      </c>
      <c r="B55" s="1">
        <v>42736</v>
      </c>
      <c r="C55">
        <v>4.54</v>
      </c>
    </row>
    <row r="56" spans="1:3">
      <c r="A56">
        <v>70</v>
      </c>
      <c r="B56" s="1">
        <v>42736</v>
      </c>
      <c r="C56">
        <v>4.7300000000000004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C56"/>
  <sheetViews>
    <sheetView workbookViewId="0"/>
  </sheetViews>
  <sheetFormatPr defaultRowHeight="15.75"/>
  <cols>
    <col min="1" max="1" width="2.875" bestFit="1" customWidth="1"/>
    <col min="2" max="2" width="10.125" bestFit="1" customWidth="1"/>
    <col min="3" max="3" width="5.875" bestFit="1" customWidth="1"/>
  </cols>
  <sheetData>
    <row r="1" spans="1:3">
      <c r="A1">
        <v>15</v>
      </c>
      <c r="B1" s="1">
        <v>1</v>
      </c>
      <c r="C1">
        <v>23.88</v>
      </c>
    </row>
    <row r="2" spans="1:3">
      <c r="A2">
        <v>16</v>
      </c>
      <c r="B2" s="1">
        <v>1</v>
      </c>
      <c r="C2">
        <v>22.95</v>
      </c>
    </row>
    <row r="3" spans="1:3">
      <c r="A3">
        <v>17</v>
      </c>
      <c r="B3" s="1">
        <v>1</v>
      </c>
      <c r="C3">
        <v>22.07</v>
      </c>
    </row>
    <row r="4" spans="1:3">
      <c r="A4">
        <v>18</v>
      </c>
      <c r="B4" s="1">
        <v>1</v>
      </c>
      <c r="C4">
        <v>21.2</v>
      </c>
    </row>
    <row r="5" spans="1:3">
      <c r="A5">
        <v>19</v>
      </c>
      <c r="B5" s="1">
        <v>1</v>
      </c>
      <c r="C5">
        <v>20.32</v>
      </c>
    </row>
    <row r="6" spans="1:3">
      <c r="A6">
        <v>20</v>
      </c>
      <c r="B6" s="1">
        <v>1</v>
      </c>
      <c r="C6">
        <v>19.48</v>
      </c>
    </row>
    <row r="7" spans="1:3">
      <c r="A7">
        <v>21</v>
      </c>
      <c r="B7" s="1">
        <v>1</v>
      </c>
      <c r="C7">
        <v>18.68</v>
      </c>
    </row>
    <row r="8" spans="1:3">
      <c r="A8">
        <v>22</v>
      </c>
      <c r="B8" s="1">
        <v>1</v>
      </c>
      <c r="C8">
        <v>17.920000000000002</v>
      </c>
    </row>
    <row r="9" spans="1:3">
      <c r="A9">
        <v>23</v>
      </c>
      <c r="B9" s="1">
        <v>1</v>
      </c>
      <c r="C9">
        <v>17.190000000000001</v>
      </c>
    </row>
    <row r="10" spans="1:3">
      <c r="A10">
        <v>24</v>
      </c>
      <c r="B10" s="1">
        <v>1</v>
      </c>
      <c r="C10">
        <v>16.510000000000002</v>
      </c>
    </row>
    <row r="11" spans="1:3">
      <c r="A11">
        <v>25</v>
      </c>
      <c r="B11" s="1">
        <v>1</v>
      </c>
      <c r="C11">
        <v>15.84</v>
      </c>
    </row>
    <row r="12" spans="1:3">
      <c r="A12">
        <v>26</v>
      </c>
      <c r="B12" s="1">
        <v>1</v>
      </c>
      <c r="C12">
        <v>15.24</v>
      </c>
    </row>
    <row r="13" spans="1:3">
      <c r="A13">
        <v>27</v>
      </c>
      <c r="B13" s="1">
        <v>1</v>
      </c>
      <c r="C13">
        <v>14.66</v>
      </c>
    </row>
    <row r="14" spans="1:3">
      <c r="A14">
        <v>28</v>
      </c>
      <c r="B14" s="1">
        <v>1</v>
      </c>
      <c r="C14">
        <v>14.11</v>
      </c>
    </row>
    <row r="15" spans="1:3">
      <c r="A15">
        <v>29</v>
      </c>
      <c r="B15" s="1">
        <v>1</v>
      </c>
      <c r="C15">
        <v>13.57</v>
      </c>
    </row>
    <row r="16" spans="1:3">
      <c r="A16">
        <v>30</v>
      </c>
      <c r="B16" s="1">
        <v>1</v>
      </c>
      <c r="C16">
        <v>13.06</v>
      </c>
    </row>
    <row r="17" spans="1:3">
      <c r="A17">
        <v>31</v>
      </c>
      <c r="B17" s="1">
        <v>1</v>
      </c>
      <c r="C17">
        <v>12.56</v>
      </c>
    </row>
    <row r="18" spans="1:3">
      <c r="A18">
        <v>32</v>
      </c>
      <c r="B18" s="1">
        <v>1</v>
      </c>
      <c r="C18">
        <v>12.09</v>
      </c>
    </row>
    <row r="19" spans="1:3">
      <c r="A19">
        <v>33</v>
      </c>
      <c r="B19" s="1">
        <v>1</v>
      </c>
      <c r="C19">
        <v>11.63</v>
      </c>
    </row>
    <row r="20" spans="1:3">
      <c r="A20">
        <v>34</v>
      </c>
      <c r="B20" s="1">
        <v>1</v>
      </c>
      <c r="C20">
        <v>11.19</v>
      </c>
    </row>
    <row r="21" spans="1:3">
      <c r="A21">
        <v>35</v>
      </c>
      <c r="B21" s="1">
        <v>1</v>
      </c>
      <c r="C21">
        <v>10.77</v>
      </c>
    </row>
    <row r="22" spans="1:3">
      <c r="A22">
        <v>36</v>
      </c>
      <c r="B22" s="1">
        <v>1</v>
      </c>
      <c r="C22">
        <v>10.38</v>
      </c>
    </row>
    <row r="23" spans="1:3">
      <c r="A23">
        <v>37</v>
      </c>
      <c r="B23" s="1">
        <v>1</v>
      </c>
      <c r="C23">
        <v>10.01</v>
      </c>
    </row>
    <row r="24" spans="1:3">
      <c r="A24">
        <v>38</v>
      </c>
      <c r="B24" s="1">
        <v>1</v>
      </c>
      <c r="C24">
        <v>9.65</v>
      </c>
    </row>
    <row r="25" spans="1:3">
      <c r="A25">
        <v>39</v>
      </c>
      <c r="B25" s="1">
        <v>1</v>
      </c>
      <c r="C25">
        <v>9.31</v>
      </c>
    </row>
    <row r="26" spans="1:3">
      <c r="A26">
        <v>40</v>
      </c>
      <c r="B26" s="1">
        <v>1</v>
      </c>
      <c r="C26">
        <v>8.98</v>
      </c>
    </row>
    <row r="27" spans="1:3">
      <c r="A27">
        <v>41</v>
      </c>
      <c r="B27" s="1">
        <v>1</v>
      </c>
      <c r="C27">
        <v>8.67</v>
      </c>
    </row>
    <row r="28" spans="1:3">
      <c r="A28">
        <v>42</v>
      </c>
      <c r="B28" s="1">
        <v>1</v>
      </c>
      <c r="C28">
        <v>8.3699999999999992</v>
      </c>
    </row>
    <row r="29" spans="1:3">
      <c r="A29">
        <v>43</v>
      </c>
      <c r="B29" s="1">
        <v>1</v>
      </c>
      <c r="C29">
        <v>8.1</v>
      </c>
    </row>
    <row r="30" spans="1:3">
      <c r="A30">
        <v>44</v>
      </c>
      <c r="B30" s="1">
        <v>1</v>
      </c>
      <c r="C30">
        <v>7.82</v>
      </c>
    </row>
    <row r="31" spans="1:3">
      <c r="A31">
        <v>45</v>
      </c>
      <c r="B31" s="1">
        <v>1</v>
      </c>
      <c r="C31">
        <v>7.57</v>
      </c>
    </row>
    <row r="32" spans="1:3">
      <c r="A32">
        <v>46</v>
      </c>
      <c r="B32" s="1">
        <v>1</v>
      </c>
      <c r="C32">
        <v>7.33</v>
      </c>
    </row>
    <row r="33" spans="1:3">
      <c r="A33">
        <v>47</v>
      </c>
      <c r="B33" s="1">
        <v>1</v>
      </c>
      <c r="C33">
        <v>7.09</v>
      </c>
    </row>
    <row r="34" spans="1:3">
      <c r="A34">
        <v>48</v>
      </c>
      <c r="B34" s="1">
        <v>1</v>
      </c>
      <c r="C34">
        <v>6.89</v>
      </c>
    </row>
    <row r="35" spans="1:3">
      <c r="A35">
        <v>49</v>
      </c>
      <c r="B35" s="1">
        <v>1</v>
      </c>
      <c r="C35">
        <v>6.69</v>
      </c>
    </row>
    <row r="36" spans="1:3">
      <c r="A36">
        <v>50</v>
      </c>
      <c r="B36" s="1">
        <v>1</v>
      </c>
      <c r="C36">
        <v>6.5</v>
      </c>
    </row>
    <row r="37" spans="1:3">
      <c r="A37">
        <v>51</v>
      </c>
      <c r="B37" s="1">
        <v>1</v>
      </c>
      <c r="C37">
        <v>6.31</v>
      </c>
    </row>
    <row r="38" spans="1:3">
      <c r="A38">
        <v>52</v>
      </c>
      <c r="B38" s="1">
        <v>1</v>
      </c>
      <c r="C38">
        <v>6.14</v>
      </c>
    </row>
    <row r="39" spans="1:3">
      <c r="A39">
        <v>53</v>
      </c>
      <c r="B39" s="1">
        <v>1</v>
      </c>
      <c r="C39">
        <v>5.98</v>
      </c>
    </row>
    <row r="40" spans="1:3">
      <c r="A40">
        <v>54</v>
      </c>
      <c r="B40" s="1">
        <v>1</v>
      </c>
      <c r="C40">
        <v>5.83</v>
      </c>
    </row>
    <row r="41" spans="1:3">
      <c r="A41">
        <v>55</v>
      </c>
      <c r="B41" s="1">
        <v>1</v>
      </c>
      <c r="C41">
        <v>5.68</v>
      </c>
    </row>
    <row r="42" spans="1:3">
      <c r="A42">
        <v>56</v>
      </c>
      <c r="B42" s="1">
        <v>1</v>
      </c>
      <c r="C42">
        <v>5.54</v>
      </c>
    </row>
    <row r="43" spans="1:3">
      <c r="A43">
        <v>57</v>
      </c>
      <c r="B43" s="1">
        <v>1</v>
      </c>
      <c r="C43">
        <v>5.41</v>
      </c>
    </row>
    <row r="44" spans="1:3">
      <c r="A44">
        <v>58</v>
      </c>
      <c r="B44" s="1">
        <v>1</v>
      </c>
      <c r="C44">
        <v>5.28</v>
      </c>
    </row>
    <row r="45" spans="1:3">
      <c r="A45">
        <v>59</v>
      </c>
      <c r="B45" s="1">
        <v>1</v>
      </c>
      <c r="C45">
        <v>5.16</v>
      </c>
    </row>
    <row r="46" spans="1:3">
      <c r="A46">
        <v>60</v>
      </c>
      <c r="B46" s="1">
        <v>1</v>
      </c>
      <c r="C46">
        <v>5.0199999999999996</v>
      </c>
    </row>
    <row r="47" spans="1:3">
      <c r="A47">
        <v>61</v>
      </c>
      <c r="B47" s="1">
        <v>1</v>
      </c>
      <c r="C47">
        <v>4.91</v>
      </c>
    </row>
    <row r="48" spans="1:3">
      <c r="A48">
        <v>62</v>
      </c>
      <c r="B48" s="1">
        <v>1</v>
      </c>
      <c r="C48">
        <v>4.82</v>
      </c>
    </row>
    <row r="49" spans="1:3">
      <c r="A49">
        <v>63</v>
      </c>
      <c r="B49" s="1">
        <v>1</v>
      </c>
      <c r="C49">
        <v>4.72</v>
      </c>
    </row>
    <row r="50" spans="1:3">
      <c r="A50">
        <v>64</v>
      </c>
      <c r="B50" s="1">
        <v>1</v>
      </c>
      <c r="C50">
        <v>4.6399999999999997</v>
      </c>
    </row>
    <row r="51" spans="1:3">
      <c r="A51">
        <v>65</v>
      </c>
      <c r="B51" s="1">
        <v>1</v>
      </c>
      <c r="C51">
        <v>4.5599999999999996</v>
      </c>
    </row>
    <row r="52" spans="1:3">
      <c r="A52">
        <v>66</v>
      </c>
      <c r="B52" s="1">
        <v>1</v>
      </c>
      <c r="C52">
        <v>4.49</v>
      </c>
    </row>
    <row r="53" spans="1:3">
      <c r="A53">
        <v>67</v>
      </c>
      <c r="B53" s="1">
        <v>1</v>
      </c>
      <c r="C53">
        <v>4.45</v>
      </c>
    </row>
    <row r="54" spans="1:3">
      <c r="A54">
        <v>68</v>
      </c>
      <c r="B54" s="1">
        <v>1</v>
      </c>
      <c r="C54">
        <v>4.62</v>
      </c>
    </row>
    <row r="55" spans="1:3">
      <c r="A55">
        <v>69</v>
      </c>
      <c r="B55" s="1">
        <v>1</v>
      </c>
      <c r="C55">
        <v>4.75</v>
      </c>
    </row>
    <row r="56" spans="1:3">
      <c r="A56">
        <v>70</v>
      </c>
      <c r="B56" s="1">
        <v>1</v>
      </c>
      <c r="C56">
        <v>4.92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C21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3.875" bestFit="1" customWidth="1"/>
  </cols>
  <sheetData>
    <row r="1" spans="1:3">
      <c r="A1">
        <v>660</v>
      </c>
      <c r="B1" s="1">
        <v>42011</v>
      </c>
      <c r="C1">
        <v>56</v>
      </c>
    </row>
    <row r="2" spans="1:3">
      <c r="A2">
        <v>672</v>
      </c>
      <c r="B2" s="1">
        <v>42011</v>
      </c>
      <c r="C2">
        <v>59</v>
      </c>
    </row>
    <row r="3" spans="1:3">
      <c r="A3">
        <v>684</v>
      </c>
      <c r="B3" s="1">
        <v>42011</v>
      </c>
      <c r="C3">
        <v>62</v>
      </c>
    </row>
    <row r="4" spans="1:3">
      <c r="A4">
        <v>696</v>
      </c>
      <c r="B4" s="1">
        <v>42011</v>
      </c>
      <c r="C4">
        <v>65</v>
      </c>
    </row>
    <row r="5" spans="1:3">
      <c r="A5">
        <v>708</v>
      </c>
      <c r="B5" s="1">
        <v>42011</v>
      </c>
      <c r="C5">
        <v>69</v>
      </c>
    </row>
    <row r="6" spans="1:3">
      <c r="A6">
        <v>720</v>
      </c>
      <c r="B6" s="1">
        <v>42011</v>
      </c>
      <c r="C6">
        <v>73</v>
      </c>
    </row>
    <row r="7" spans="1:3">
      <c r="A7">
        <v>732</v>
      </c>
      <c r="B7" s="1">
        <v>42011</v>
      </c>
      <c r="C7">
        <v>78</v>
      </c>
    </row>
    <row r="8" spans="1:3">
      <c r="A8">
        <v>744</v>
      </c>
      <c r="B8" s="1">
        <v>42011</v>
      </c>
      <c r="C8">
        <v>83</v>
      </c>
    </row>
    <row r="9" spans="1:3">
      <c r="A9">
        <v>756</v>
      </c>
      <c r="B9" s="1">
        <v>42011</v>
      </c>
      <c r="C9">
        <v>88</v>
      </c>
    </row>
    <row r="10" spans="1:3">
      <c r="A10">
        <v>768</v>
      </c>
      <c r="B10" s="1">
        <v>42011</v>
      </c>
      <c r="C10">
        <v>94</v>
      </c>
    </row>
    <row r="11" spans="1:3">
      <c r="A11">
        <v>780</v>
      </c>
      <c r="B11" s="1">
        <v>42011</v>
      </c>
      <c r="C11">
        <v>100</v>
      </c>
    </row>
    <row r="12" spans="1:3">
      <c r="A12">
        <v>792</v>
      </c>
      <c r="B12" s="1">
        <v>42011</v>
      </c>
      <c r="C12">
        <v>107</v>
      </c>
    </row>
    <row r="13" spans="1:3">
      <c r="A13">
        <v>804</v>
      </c>
      <c r="B13" s="1">
        <v>42011</v>
      </c>
      <c r="C13">
        <v>115</v>
      </c>
    </row>
    <row r="14" spans="1:3">
      <c r="A14">
        <v>816</v>
      </c>
      <c r="B14" s="1">
        <v>42011</v>
      </c>
      <c r="C14">
        <v>123</v>
      </c>
    </row>
    <row r="15" spans="1:3">
      <c r="A15">
        <v>828</v>
      </c>
      <c r="B15" s="1">
        <v>42011</v>
      </c>
      <c r="C15">
        <v>133</v>
      </c>
    </row>
    <row r="16" spans="1:3">
      <c r="A16">
        <v>840</v>
      </c>
      <c r="B16" s="1">
        <v>42011</v>
      </c>
      <c r="C16">
        <v>143</v>
      </c>
    </row>
    <row r="17" spans="1:3">
      <c r="A17">
        <v>852</v>
      </c>
      <c r="B17" s="1">
        <v>42011</v>
      </c>
      <c r="C17">
        <v>155</v>
      </c>
    </row>
    <row r="18" spans="1:3">
      <c r="A18">
        <v>864</v>
      </c>
      <c r="B18" s="1">
        <v>42011</v>
      </c>
      <c r="C18">
        <v>168</v>
      </c>
    </row>
    <row r="19" spans="1:3">
      <c r="A19">
        <v>876</v>
      </c>
      <c r="B19" s="1">
        <v>42011</v>
      </c>
      <c r="C19">
        <v>183</v>
      </c>
    </row>
    <row r="20" spans="1:3">
      <c r="A20">
        <v>888</v>
      </c>
      <c r="B20" s="1">
        <v>42011</v>
      </c>
      <c r="C20">
        <v>200</v>
      </c>
    </row>
    <row r="21" spans="1:3">
      <c r="A21">
        <v>900</v>
      </c>
      <c r="B21" s="1">
        <v>42011</v>
      </c>
      <c r="C21">
        <v>219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C21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3.875" bestFit="1" customWidth="1"/>
  </cols>
  <sheetData>
    <row r="1" spans="1:3">
      <c r="A1">
        <v>660</v>
      </c>
      <c r="B1" s="1">
        <v>42011</v>
      </c>
      <c r="C1">
        <v>49</v>
      </c>
    </row>
    <row r="2" spans="1:3">
      <c r="A2">
        <v>672</v>
      </c>
      <c r="B2" s="1">
        <v>42011</v>
      </c>
      <c r="C2">
        <v>51</v>
      </c>
    </row>
    <row r="3" spans="1:3">
      <c r="A3">
        <v>684</v>
      </c>
      <c r="B3" s="1">
        <v>42011</v>
      </c>
      <c r="C3">
        <v>54</v>
      </c>
    </row>
    <row r="4" spans="1:3">
      <c r="A4">
        <v>696</v>
      </c>
      <c r="B4" s="1">
        <v>42011</v>
      </c>
      <c r="C4">
        <v>57</v>
      </c>
    </row>
    <row r="5" spans="1:3">
      <c r="A5">
        <v>708</v>
      </c>
      <c r="B5" s="1">
        <v>42011</v>
      </c>
      <c r="C5">
        <v>60</v>
      </c>
    </row>
    <row r="6" spans="1:3">
      <c r="A6">
        <v>720</v>
      </c>
      <c r="B6" s="1">
        <v>42011</v>
      </c>
      <c r="C6">
        <v>64</v>
      </c>
    </row>
    <row r="7" spans="1:3">
      <c r="A7">
        <v>732</v>
      </c>
      <c r="B7" s="1">
        <v>42011</v>
      </c>
      <c r="C7">
        <v>68</v>
      </c>
    </row>
    <row r="8" spans="1:3">
      <c r="A8">
        <v>744</v>
      </c>
      <c r="B8" s="1">
        <v>42011</v>
      </c>
      <c r="C8">
        <v>72</v>
      </c>
    </row>
    <row r="9" spans="1:3">
      <c r="A9">
        <v>756</v>
      </c>
      <c r="B9" s="1">
        <v>42011</v>
      </c>
      <c r="C9">
        <v>77</v>
      </c>
    </row>
    <row r="10" spans="1:3">
      <c r="A10">
        <v>768</v>
      </c>
      <c r="B10" s="1">
        <v>42011</v>
      </c>
      <c r="C10">
        <v>82</v>
      </c>
    </row>
    <row r="11" spans="1:3">
      <c r="A11">
        <v>780</v>
      </c>
      <c r="B11" s="1">
        <v>42011</v>
      </c>
      <c r="C11">
        <v>87</v>
      </c>
    </row>
    <row r="12" spans="1:3">
      <c r="A12">
        <v>792</v>
      </c>
      <c r="B12" s="1">
        <v>42011</v>
      </c>
      <c r="C12">
        <v>93</v>
      </c>
    </row>
    <row r="13" spans="1:3">
      <c r="A13">
        <v>804</v>
      </c>
      <c r="B13" s="1">
        <v>42011</v>
      </c>
      <c r="C13">
        <v>100</v>
      </c>
    </row>
    <row r="14" spans="1:3">
      <c r="A14">
        <v>816</v>
      </c>
      <c r="B14" s="1">
        <v>42011</v>
      </c>
      <c r="C14">
        <v>108</v>
      </c>
    </row>
    <row r="15" spans="1:3">
      <c r="A15">
        <v>828</v>
      </c>
      <c r="B15" s="1">
        <v>42011</v>
      </c>
      <c r="C15">
        <v>116</v>
      </c>
    </row>
    <row r="16" spans="1:3">
      <c r="A16">
        <v>840</v>
      </c>
      <c r="B16" s="1">
        <v>42011</v>
      </c>
      <c r="C16">
        <v>125</v>
      </c>
    </row>
    <row r="17" spans="1:3">
      <c r="A17">
        <v>852</v>
      </c>
      <c r="B17" s="1">
        <v>42011</v>
      </c>
      <c r="C17">
        <v>136</v>
      </c>
    </row>
    <row r="18" spans="1:3">
      <c r="A18">
        <v>864</v>
      </c>
      <c r="B18" s="1">
        <v>42011</v>
      </c>
      <c r="C18">
        <v>147</v>
      </c>
    </row>
    <row r="19" spans="1:3">
      <c r="A19">
        <v>876</v>
      </c>
      <c r="B19" s="1">
        <v>42011</v>
      </c>
      <c r="C19">
        <v>160</v>
      </c>
    </row>
    <row r="20" spans="1:3">
      <c r="A20">
        <v>888</v>
      </c>
      <c r="B20" s="1">
        <v>42011</v>
      </c>
      <c r="C20">
        <v>175</v>
      </c>
    </row>
    <row r="21" spans="1:3">
      <c r="A21">
        <v>900</v>
      </c>
      <c r="B21" s="1">
        <v>42011</v>
      </c>
      <c r="C21">
        <v>192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C21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7.875" bestFit="1" customWidth="1"/>
  </cols>
  <sheetData>
    <row r="1" spans="1:3">
      <c r="A1">
        <v>659</v>
      </c>
      <c r="B1" s="1">
        <v>1</v>
      </c>
      <c r="C1">
        <v>0.45</v>
      </c>
    </row>
    <row r="2" spans="1:3">
      <c r="A2">
        <v>671</v>
      </c>
      <c r="B2" s="1">
        <v>1</v>
      </c>
      <c r="C2">
        <v>0.51</v>
      </c>
    </row>
    <row r="3" spans="1:3">
      <c r="A3">
        <v>683</v>
      </c>
      <c r="B3" s="1">
        <v>1</v>
      </c>
      <c r="C3">
        <v>0.59</v>
      </c>
    </row>
    <row r="4" spans="1:3">
      <c r="A4">
        <v>695</v>
      </c>
      <c r="B4" s="1">
        <v>1</v>
      </c>
      <c r="C4">
        <v>0.69</v>
      </c>
    </row>
    <row r="5" spans="1:3">
      <c r="A5">
        <v>707</v>
      </c>
      <c r="B5" s="1">
        <v>1</v>
      </c>
      <c r="C5">
        <v>0.82</v>
      </c>
    </row>
    <row r="6" spans="1:3">
      <c r="A6">
        <v>719</v>
      </c>
      <c r="B6" s="1">
        <v>1</v>
      </c>
      <c r="C6">
        <v>1</v>
      </c>
    </row>
    <row r="7" spans="1:3">
      <c r="A7">
        <v>731</v>
      </c>
      <c r="B7" s="1">
        <v>1</v>
      </c>
      <c r="C7">
        <v>1.28</v>
      </c>
    </row>
    <row r="8" spans="1:3">
      <c r="A8">
        <v>743</v>
      </c>
      <c r="B8" s="1">
        <v>1</v>
      </c>
      <c r="C8">
        <v>1.74</v>
      </c>
    </row>
    <row r="9" spans="1:3">
      <c r="A9">
        <v>755</v>
      </c>
      <c r="B9" s="1">
        <v>1</v>
      </c>
      <c r="C9">
        <v>2.66</v>
      </c>
    </row>
    <row r="10" spans="1:3">
      <c r="A10">
        <v>767</v>
      </c>
      <c r="B10" s="1">
        <v>1</v>
      </c>
      <c r="C10">
        <v>5.42</v>
      </c>
    </row>
    <row r="11" spans="1:3">
      <c r="A11">
        <v>768</v>
      </c>
      <c r="B11" s="1">
        <v>1</v>
      </c>
      <c r="C11">
        <v>5.9225000000000003</v>
      </c>
    </row>
    <row r="12" spans="1:3">
      <c r="A12">
        <v>769</v>
      </c>
      <c r="B12" s="1">
        <v>1</v>
      </c>
      <c r="C12">
        <v>6.5255000000000001</v>
      </c>
    </row>
    <row r="13" spans="1:3">
      <c r="A13">
        <v>770</v>
      </c>
      <c r="B13" s="1">
        <v>1</v>
      </c>
      <c r="C13">
        <v>7.2625000000000002</v>
      </c>
    </row>
    <row r="14" spans="1:3">
      <c r="A14">
        <v>771</v>
      </c>
      <c r="B14" s="1">
        <v>1</v>
      </c>
      <c r="C14">
        <v>8.1837999999999997</v>
      </c>
    </row>
    <row r="15" spans="1:3">
      <c r="A15">
        <v>772</v>
      </c>
      <c r="B15" s="1">
        <v>1</v>
      </c>
      <c r="C15">
        <v>9.3683999999999994</v>
      </c>
    </row>
    <row r="16" spans="1:3">
      <c r="A16">
        <v>773</v>
      </c>
      <c r="B16" s="1">
        <v>1</v>
      </c>
      <c r="C16">
        <v>10.947900000000001</v>
      </c>
    </row>
    <row r="17" spans="1:3">
      <c r="A17">
        <v>774</v>
      </c>
      <c r="B17" s="1">
        <v>1</v>
      </c>
      <c r="C17">
        <v>13.1591</v>
      </c>
    </row>
    <row r="18" spans="1:3">
      <c r="A18">
        <v>775</v>
      </c>
      <c r="B18" s="1">
        <v>1</v>
      </c>
      <c r="C18">
        <v>16.476099999999999</v>
      </c>
    </row>
    <row r="19" spans="1:3">
      <c r="A19">
        <v>776</v>
      </c>
      <c r="B19" s="1">
        <v>1</v>
      </c>
      <c r="C19">
        <v>22.0044</v>
      </c>
    </row>
    <row r="20" spans="1:3">
      <c r="A20">
        <v>777</v>
      </c>
      <c r="B20" s="1">
        <v>1</v>
      </c>
      <c r="C20">
        <v>33.061100000000003</v>
      </c>
    </row>
    <row r="21" spans="1:3">
      <c r="A21">
        <v>778</v>
      </c>
      <c r="B21" s="1">
        <v>1</v>
      </c>
      <c r="C21">
        <v>66.231399999999994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C16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5.875" bestFit="1" customWidth="1"/>
  </cols>
  <sheetData>
    <row r="1" spans="1:3">
      <c r="A1">
        <v>660</v>
      </c>
      <c r="B1" s="1">
        <v>42011</v>
      </c>
      <c r="C1">
        <v>133.1</v>
      </c>
    </row>
    <row r="2" spans="1:3">
      <c r="A2">
        <v>672</v>
      </c>
      <c r="B2" s="1">
        <v>42011</v>
      </c>
      <c r="C2">
        <v>133.1</v>
      </c>
    </row>
    <row r="3" spans="1:3">
      <c r="A3">
        <v>684</v>
      </c>
      <c r="B3" s="1">
        <v>42011</v>
      </c>
      <c r="C3">
        <v>133.1</v>
      </c>
    </row>
    <row r="4" spans="1:3">
      <c r="A4">
        <v>696</v>
      </c>
      <c r="B4" s="1">
        <v>42011</v>
      </c>
      <c r="C4">
        <v>133.1</v>
      </c>
    </row>
    <row r="5" spans="1:3">
      <c r="A5">
        <v>708</v>
      </c>
      <c r="B5" s="1">
        <v>42011</v>
      </c>
      <c r="C5">
        <v>133.1</v>
      </c>
    </row>
    <row r="6" spans="1:3">
      <c r="A6">
        <v>720</v>
      </c>
      <c r="B6" s="1">
        <v>42011</v>
      </c>
      <c r="C6">
        <v>133.1</v>
      </c>
    </row>
    <row r="7" spans="1:3">
      <c r="A7">
        <v>732</v>
      </c>
      <c r="B7" s="1">
        <v>42011</v>
      </c>
      <c r="C7">
        <v>133.1</v>
      </c>
    </row>
    <row r="8" spans="1:3">
      <c r="A8">
        <v>744</v>
      </c>
      <c r="B8" s="1">
        <v>42011</v>
      </c>
      <c r="C8">
        <v>133.1</v>
      </c>
    </row>
    <row r="9" spans="1:3">
      <c r="A9">
        <v>756</v>
      </c>
      <c r="B9" s="1">
        <v>42011</v>
      </c>
      <c r="C9">
        <v>133.1</v>
      </c>
    </row>
    <row r="10" spans="1:3">
      <c r="A10">
        <v>768</v>
      </c>
      <c r="B10" s="1">
        <v>42011</v>
      </c>
      <c r="C10">
        <v>133.1</v>
      </c>
    </row>
    <row r="11" spans="1:3">
      <c r="A11">
        <v>780</v>
      </c>
      <c r="B11" s="1">
        <v>42011</v>
      </c>
      <c r="C11">
        <v>133.1</v>
      </c>
    </row>
    <row r="12" spans="1:3">
      <c r="A12">
        <v>792</v>
      </c>
      <c r="B12" s="1">
        <v>42011</v>
      </c>
      <c r="C12">
        <v>133.1</v>
      </c>
    </row>
    <row r="13" spans="1:3">
      <c r="A13">
        <v>804</v>
      </c>
      <c r="B13" s="1">
        <v>42011</v>
      </c>
      <c r="C13">
        <v>133.1</v>
      </c>
    </row>
    <row r="14" spans="1:3">
      <c r="A14">
        <v>816</v>
      </c>
      <c r="B14" s="1">
        <v>42011</v>
      </c>
      <c r="C14">
        <v>133.1</v>
      </c>
    </row>
    <row r="15" spans="1:3">
      <c r="A15">
        <v>828</v>
      </c>
      <c r="B15" s="1">
        <v>42011</v>
      </c>
      <c r="C15">
        <v>133.1</v>
      </c>
    </row>
    <row r="16" spans="1:3">
      <c r="A16">
        <v>840</v>
      </c>
      <c r="B16" s="1">
        <v>42011</v>
      </c>
      <c r="C16">
        <v>133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C16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5.875" bestFit="1" customWidth="1"/>
  </cols>
  <sheetData>
    <row r="1" spans="1:3">
      <c r="A1">
        <v>660</v>
      </c>
      <c r="B1" s="1">
        <v>42011</v>
      </c>
      <c r="C1">
        <v>131.4</v>
      </c>
    </row>
    <row r="2" spans="1:3">
      <c r="A2">
        <v>672</v>
      </c>
      <c r="B2" s="1">
        <v>42011</v>
      </c>
      <c r="C2">
        <v>131.4</v>
      </c>
    </row>
    <row r="3" spans="1:3">
      <c r="A3">
        <v>684</v>
      </c>
      <c r="B3" s="1">
        <v>42011</v>
      </c>
      <c r="C3">
        <v>131.4</v>
      </c>
    </row>
    <row r="4" spans="1:3">
      <c r="A4">
        <v>696</v>
      </c>
      <c r="B4" s="1">
        <v>42011</v>
      </c>
      <c r="C4">
        <v>131.30000000000001</v>
      </c>
    </row>
    <row r="5" spans="1:3">
      <c r="A5">
        <v>708</v>
      </c>
      <c r="B5" s="1">
        <v>42011</v>
      </c>
      <c r="C5">
        <v>131.30000000000001</v>
      </c>
    </row>
    <row r="6" spans="1:3">
      <c r="A6">
        <v>720</v>
      </c>
      <c r="B6" s="1">
        <v>42011</v>
      </c>
      <c r="C6">
        <v>131.19999999999999</v>
      </c>
    </row>
    <row r="7" spans="1:3">
      <c r="A7">
        <v>732</v>
      </c>
      <c r="B7" s="1">
        <v>42011</v>
      </c>
      <c r="C7">
        <v>131.19999999999999</v>
      </c>
    </row>
    <row r="8" spans="1:3">
      <c r="A8">
        <v>744</v>
      </c>
      <c r="B8" s="1">
        <v>42011</v>
      </c>
      <c r="C8">
        <v>131.1</v>
      </c>
    </row>
    <row r="9" spans="1:3">
      <c r="A9">
        <v>756</v>
      </c>
      <c r="B9" s="1">
        <v>42011</v>
      </c>
      <c r="C9">
        <v>131.1</v>
      </c>
    </row>
    <row r="10" spans="1:3">
      <c r="A10">
        <v>768</v>
      </c>
      <c r="B10" s="1">
        <v>42011</v>
      </c>
      <c r="C10">
        <v>131</v>
      </c>
    </row>
    <row r="11" spans="1:3">
      <c r="A11">
        <v>780</v>
      </c>
      <c r="B11" s="1">
        <v>42011</v>
      </c>
      <c r="C11">
        <v>130.9</v>
      </c>
    </row>
    <row r="12" spans="1:3">
      <c r="A12">
        <v>792</v>
      </c>
      <c r="B12" s="1">
        <v>42011</v>
      </c>
      <c r="C12">
        <v>130.9</v>
      </c>
    </row>
    <row r="13" spans="1:3">
      <c r="A13">
        <v>804</v>
      </c>
      <c r="B13" s="1">
        <v>42011</v>
      </c>
      <c r="C13">
        <v>130.80000000000001</v>
      </c>
    </row>
    <row r="14" spans="1:3">
      <c r="A14">
        <v>816</v>
      </c>
      <c r="B14" s="1">
        <v>42011</v>
      </c>
      <c r="C14">
        <v>130.69999999999999</v>
      </c>
    </row>
    <row r="15" spans="1:3">
      <c r="A15">
        <v>828</v>
      </c>
      <c r="B15" s="1">
        <v>42011</v>
      </c>
      <c r="C15">
        <v>130.6</v>
      </c>
    </row>
    <row r="16" spans="1:3">
      <c r="A16">
        <v>840</v>
      </c>
      <c r="B16" s="1">
        <v>42011</v>
      </c>
      <c r="C16">
        <v>130.5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C16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5.875" bestFit="1" customWidth="1"/>
  </cols>
  <sheetData>
    <row r="1" spans="1:3">
      <c r="A1">
        <v>660</v>
      </c>
      <c r="B1" s="1">
        <v>42011</v>
      </c>
      <c r="C1">
        <v>117.5</v>
      </c>
    </row>
    <row r="2" spans="1:3">
      <c r="A2">
        <v>672</v>
      </c>
      <c r="B2" s="1">
        <v>42011</v>
      </c>
      <c r="C2">
        <v>117.3</v>
      </c>
    </row>
    <row r="3" spans="1:3">
      <c r="A3">
        <v>684</v>
      </c>
      <c r="B3" s="1">
        <v>42011</v>
      </c>
      <c r="C3">
        <v>117</v>
      </c>
    </row>
    <row r="4" spans="1:3">
      <c r="A4">
        <v>696</v>
      </c>
      <c r="B4" s="1">
        <v>42011</v>
      </c>
      <c r="C4">
        <v>116.7</v>
      </c>
    </row>
    <row r="5" spans="1:3">
      <c r="A5">
        <v>708</v>
      </c>
      <c r="B5" s="1">
        <v>42011</v>
      </c>
      <c r="C5">
        <v>116.5</v>
      </c>
    </row>
    <row r="6" spans="1:3">
      <c r="A6">
        <v>720</v>
      </c>
      <c r="B6" s="1">
        <v>42011</v>
      </c>
      <c r="C6">
        <v>116.1</v>
      </c>
    </row>
    <row r="7" spans="1:3">
      <c r="A7">
        <v>732</v>
      </c>
      <c r="B7" s="1">
        <v>42011</v>
      </c>
      <c r="C7">
        <v>115.8</v>
      </c>
    </row>
    <row r="8" spans="1:3">
      <c r="A8">
        <v>744</v>
      </c>
      <c r="B8" s="1">
        <v>42011</v>
      </c>
      <c r="C8">
        <v>115.5</v>
      </c>
    </row>
    <row r="9" spans="1:3">
      <c r="A9">
        <v>756</v>
      </c>
      <c r="B9" s="1">
        <v>42011</v>
      </c>
      <c r="C9">
        <v>115.1</v>
      </c>
    </row>
    <row r="10" spans="1:3">
      <c r="A10">
        <v>768</v>
      </c>
      <c r="B10" s="1">
        <v>42011</v>
      </c>
      <c r="C10">
        <v>114.7</v>
      </c>
    </row>
    <row r="11" spans="1:3">
      <c r="A11">
        <v>780</v>
      </c>
      <c r="B11" s="1">
        <v>42011</v>
      </c>
      <c r="C11">
        <v>114.3</v>
      </c>
    </row>
    <row r="12" spans="1:3">
      <c r="A12">
        <v>792</v>
      </c>
      <c r="B12" s="1">
        <v>42011</v>
      </c>
      <c r="C12">
        <v>113.9</v>
      </c>
    </row>
    <row r="13" spans="1:3">
      <c r="A13">
        <v>804</v>
      </c>
      <c r="B13" s="1">
        <v>42011</v>
      </c>
      <c r="C13">
        <v>113.5</v>
      </c>
    </row>
    <row r="14" spans="1:3">
      <c r="A14">
        <v>816</v>
      </c>
      <c r="B14" s="1">
        <v>42011</v>
      </c>
      <c r="C14">
        <v>113</v>
      </c>
    </row>
    <row r="15" spans="1:3">
      <c r="A15">
        <v>828</v>
      </c>
      <c r="B15" s="1">
        <v>42011</v>
      </c>
      <c r="C15">
        <v>112.5</v>
      </c>
    </row>
    <row r="16" spans="1:3">
      <c r="A16">
        <v>840</v>
      </c>
      <c r="B16" s="1">
        <v>42011</v>
      </c>
      <c r="C16">
        <v>112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C16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5.875" bestFit="1" customWidth="1"/>
  </cols>
  <sheetData>
    <row r="1" spans="1:3">
      <c r="A1">
        <v>660</v>
      </c>
      <c r="B1" s="1">
        <v>42011</v>
      </c>
      <c r="C1">
        <v>131.19999999999999</v>
      </c>
    </row>
    <row r="2" spans="1:3">
      <c r="A2">
        <v>672</v>
      </c>
      <c r="B2" s="1">
        <v>42011</v>
      </c>
      <c r="C2">
        <v>131.19999999999999</v>
      </c>
    </row>
    <row r="3" spans="1:3">
      <c r="A3">
        <v>684</v>
      </c>
      <c r="B3" s="1">
        <v>42011</v>
      </c>
      <c r="C3">
        <v>131.19999999999999</v>
      </c>
    </row>
    <row r="4" spans="1:3">
      <c r="A4">
        <v>696</v>
      </c>
      <c r="B4" s="1">
        <v>42011</v>
      </c>
      <c r="C4">
        <v>131.1</v>
      </c>
    </row>
    <row r="5" spans="1:3">
      <c r="A5">
        <v>708</v>
      </c>
      <c r="B5" s="1">
        <v>42011</v>
      </c>
      <c r="C5">
        <v>131.1</v>
      </c>
    </row>
    <row r="6" spans="1:3">
      <c r="A6">
        <v>720</v>
      </c>
      <c r="B6" s="1">
        <v>42011</v>
      </c>
      <c r="C6">
        <v>131</v>
      </c>
    </row>
    <row r="7" spans="1:3">
      <c r="A7">
        <v>732</v>
      </c>
      <c r="B7" s="1">
        <v>42011</v>
      </c>
      <c r="C7">
        <v>131</v>
      </c>
    </row>
    <row r="8" spans="1:3">
      <c r="A8">
        <v>744</v>
      </c>
      <c r="B8" s="1">
        <v>42011</v>
      </c>
      <c r="C8">
        <v>130.9</v>
      </c>
    </row>
    <row r="9" spans="1:3">
      <c r="A9">
        <v>756</v>
      </c>
      <c r="B9" s="1">
        <v>42011</v>
      </c>
      <c r="C9">
        <v>130.9</v>
      </c>
    </row>
    <row r="10" spans="1:3">
      <c r="A10">
        <v>768</v>
      </c>
      <c r="B10" s="1">
        <v>42011</v>
      </c>
      <c r="C10">
        <v>130.80000000000001</v>
      </c>
    </row>
    <row r="11" spans="1:3">
      <c r="A11">
        <v>780</v>
      </c>
      <c r="B11" s="1">
        <v>42011</v>
      </c>
      <c r="C11">
        <v>130.69999999999999</v>
      </c>
    </row>
    <row r="12" spans="1:3">
      <c r="A12">
        <v>792</v>
      </c>
      <c r="B12" s="1">
        <v>42011</v>
      </c>
      <c r="C12">
        <v>130.6</v>
      </c>
    </row>
    <row r="13" spans="1:3">
      <c r="A13">
        <v>804</v>
      </c>
      <c r="B13" s="1">
        <v>42011</v>
      </c>
      <c r="C13">
        <v>130.6</v>
      </c>
    </row>
    <row r="14" spans="1:3">
      <c r="A14">
        <v>816</v>
      </c>
      <c r="B14" s="1">
        <v>42011</v>
      </c>
      <c r="C14">
        <v>130.5</v>
      </c>
    </row>
    <row r="15" spans="1:3">
      <c r="A15">
        <v>828</v>
      </c>
      <c r="B15" s="1">
        <v>42011</v>
      </c>
      <c r="C15">
        <v>130.4</v>
      </c>
    </row>
    <row r="16" spans="1:3">
      <c r="A16">
        <v>840</v>
      </c>
      <c r="B16" s="1">
        <v>42011</v>
      </c>
      <c r="C16">
        <v>130.30000000000001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C16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5.875" bestFit="1" customWidth="1"/>
  </cols>
  <sheetData>
    <row r="1" spans="1:3">
      <c r="A1">
        <v>660</v>
      </c>
      <c r="B1" s="1">
        <v>42011</v>
      </c>
      <c r="C1">
        <v>131.1</v>
      </c>
    </row>
    <row r="2" spans="1:3">
      <c r="A2">
        <v>672</v>
      </c>
      <c r="B2" s="1">
        <v>42011</v>
      </c>
      <c r="C2">
        <v>131</v>
      </c>
    </row>
    <row r="3" spans="1:3">
      <c r="A3">
        <v>684</v>
      </c>
      <c r="B3" s="1">
        <v>42011</v>
      </c>
      <c r="C3">
        <v>131</v>
      </c>
    </row>
    <row r="4" spans="1:3">
      <c r="A4">
        <v>696</v>
      </c>
      <c r="B4" s="1">
        <v>42011</v>
      </c>
      <c r="C4">
        <v>130.9</v>
      </c>
    </row>
    <row r="5" spans="1:3">
      <c r="A5">
        <v>708</v>
      </c>
      <c r="B5" s="1">
        <v>42011</v>
      </c>
      <c r="C5">
        <v>130.9</v>
      </c>
    </row>
    <row r="6" spans="1:3">
      <c r="A6">
        <v>720</v>
      </c>
      <c r="B6" s="1">
        <v>42011</v>
      </c>
      <c r="C6">
        <v>130.80000000000001</v>
      </c>
    </row>
    <row r="7" spans="1:3">
      <c r="A7">
        <v>732</v>
      </c>
      <c r="B7" s="1">
        <v>42011</v>
      </c>
      <c r="C7">
        <v>130.80000000000001</v>
      </c>
    </row>
    <row r="8" spans="1:3">
      <c r="A8">
        <v>744</v>
      </c>
      <c r="B8" s="1">
        <v>42011</v>
      </c>
      <c r="C8">
        <v>130.69999999999999</v>
      </c>
    </row>
    <row r="9" spans="1:3">
      <c r="A9">
        <v>756</v>
      </c>
      <c r="B9" s="1">
        <v>42011</v>
      </c>
      <c r="C9">
        <v>130.6</v>
      </c>
    </row>
    <row r="10" spans="1:3">
      <c r="A10">
        <v>768</v>
      </c>
      <c r="B10" s="1">
        <v>42011</v>
      </c>
      <c r="C10">
        <v>130.6</v>
      </c>
    </row>
    <row r="11" spans="1:3">
      <c r="A11">
        <v>780</v>
      </c>
      <c r="B11" s="1">
        <v>42011</v>
      </c>
      <c r="C11">
        <v>130.5</v>
      </c>
    </row>
    <row r="12" spans="1:3">
      <c r="A12">
        <v>792</v>
      </c>
      <c r="B12" s="1">
        <v>42011</v>
      </c>
      <c r="C12">
        <v>130.4</v>
      </c>
    </row>
    <row r="13" spans="1:3">
      <c r="A13">
        <v>804</v>
      </c>
      <c r="B13" s="1">
        <v>42011</v>
      </c>
      <c r="C13">
        <v>130.30000000000001</v>
      </c>
    </row>
    <row r="14" spans="1:3">
      <c r="A14">
        <v>816</v>
      </c>
      <c r="B14" s="1">
        <v>42011</v>
      </c>
      <c r="C14">
        <v>130.19999999999999</v>
      </c>
    </row>
    <row r="15" spans="1:3">
      <c r="A15">
        <v>828</v>
      </c>
      <c r="B15" s="1">
        <v>42011</v>
      </c>
      <c r="C15">
        <v>130.1</v>
      </c>
    </row>
    <row r="16" spans="1:3">
      <c r="A16">
        <v>840</v>
      </c>
      <c r="B16" s="1">
        <v>42011</v>
      </c>
      <c r="C16">
        <v>130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C16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5.875" bestFit="1" customWidth="1"/>
  </cols>
  <sheetData>
    <row r="1" spans="1:3">
      <c r="A1">
        <v>660</v>
      </c>
      <c r="B1" s="1">
        <v>42011</v>
      </c>
      <c r="C1">
        <v>116.3</v>
      </c>
    </row>
    <row r="2" spans="1:3">
      <c r="A2">
        <v>672</v>
      </c>
      <c r="B2" s="1">
        <v>42011</v>
      </c>
      <c r="C2">
        <v>116</v>
      </c>
    </row>
    <row r="3" spans="1:3">
      <c r="A3">
        <v>684</v>
      </c>
      <c r="B3" s="1">
        <v>42011</v>
      </c>
      <c r="C3">
        <v>115.7</v>
      </c>
    </row>
    <row r="4" spans="1:3">
      <c r="A4">
        <v>696</v>
      </c>
      <c r="B4" s="1">
        <v>42011</v>
      </c>
      <c r="C4">
        <v>115.4</v>
      </c>
    </row>
    <row r="5" spans="1:3">
      <c r="A5">
        <v>708</v>
      </c>
      <c r="B5" s="1">
        <v>42011</v>
      </c>
      <c r="C5">
        <v>115.1</v>
      </c>
    </row>
    <row r="6" spans="1:3">
      <c r="A6">
        <v>720</v>
      </c>
      <c r="B6" s="1">
        <v>42011</v>
      </c>
      <c r="C6">
        <v>114.8</v>
      </c>
    </row>
    <row r="7" spans="1:3">
      <c r="A7">
        <v>732</v>
      </c>
      <c r="B7" s="1">
        <v>42011</v>
      </c>
      <c r="C7">
        <v>114.5</v>
      </c>
    </row>
    <row r="8" spans="1:3">
      <c r="A8">
        <v>744</v>
      </c>
      <c r="B8" s="1">
        <v>42011</v>
      </c>
      <c r="C8">
        <v>114.1</v>
      </c>
    </row>
    <row r="9" spans="1:3">
      <c r="A9">
        <v>756</v>
      </c>
      <c r="B9" s="1">
        <v>42011</v>
      </c>
      <c r="C9">
        <v>113.7</v>
      </c>
    </row>
    <row r="10" spans="1:3">
      <c r="A10">
        <v>768</v>
      </c>
      <c r="B10" s="1">
        <v>42011</v>
      </c>
      <c r="C10">
        <v>113.3</v>
      </c>
    </row>
    <row r="11" spans="1:3">
      <c r="A11">
        <v>780</v>
      </c>
      <c r="B11" s="1">
        <v>42011</v>
      </c>
      <c r="C11">
        <v>112.9</v>
      </c>
    </row>
    <row r="12" spans="1:3">
      <c r="A12">
        <v>792</v>
      </c>
      <c r="B12" s="1">
        <v>42011</v>
      </c>
      <c r="C12">
        <v>112.5</v>
      </c>
    </row>
    <row r="13" spans="1:3">
      <c r="A13">
        <v>804</v>
      </c>
      <c r="B13" s="1">
        <v>42011</v>
      </c>
      <c r="C13">
        <v>112</v>
      </c>
    </row>
    <row r="14" spans="1:3">
      <c r="A14">
        <v>816</v>
      </c>
      <c r="B14" s="1">
        <v>42011</v>
      </c>
      <c r="C14">
        <v>111.5</v>
      </c>
    </row>
    <row r="15" spans="1:3">
      <c r="A15">
        <v>828</v>
      </c>
      <c r="B15" s="1">
        <v>42011</v>
      </c>
      <c r="C15">
        <v>111</v>
      </c>
    </row>
    <row r="16" spans="1:3">
      <c r="A16">
        <v>840</v>
      </c>
      <c r="B16" s="1">
        <v>42011</v>
      </c>
      <c r="C16">
        <v>110.5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C16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5.875" bestFit="1" customWidth="1"/>
  </cols>
  <sheetData>
    <row r="1" spans="1:3">
      <c r="A1">
        <v>660</v>
      </c>
      <c r="B1" s="1">
        <v>42011</v>
      </c>
      <c r="C1">
        <v>115.1</v>
      </c>
    </row>
    <row r="2" spans="1:3">
      <c r="A2">
        <v>672</v>
      </c>
      <c r="B2" s="1">
        <v>42011</v>
      </c>
      <c r="C2">
        <v>114.8</v>
      </c>
    </row>
    <row r="3" spans="1:3">
      <c r="A3">
        <v>684</v>
      </c>
      <c r="B3" s="1">
        <v>42011</v>
      </c>
      <c r="C3">
        <v>114.5</v>
      </c>
    </row>
    <row r="4" spans="1:3">
      <c r="A4">
        <v>696</v>
      </c>
      <c r="B4" s="1">
        <v>42011</v>
      </c>
      <c r="C4">
        <v>114.2</v>
      </c>
    </row>
    <row r="5" spans="1:3">
      <c r="A5">
        <v>708</v>
      </c>
      <c r="B5" s="1">
        <v>42011</v>
      </c>
      <c r="C5">
        <v>113.9</v>
      </c>
    </row>
    <row r="6" spans="1:3">
      <c r="A6">
        <v>720</v>
      </c>
      <c r="B6" s="1">
        <v>42011</v>
      </c>
      <c r="C6">
        <v>113.6</v>
      </c>
    </row>
    <row r="7" spans="1:3">
      <c r="A7">
        <v>732</v>
      </c>
      <c r="B7" s="1">
        <v>42011</v>
      </c>
      <c r="C7">
        <v>113.2</v>
      </c>
    </row>
    <row r="8" spans="1:3">
      <c r="A8">
        <v>744</v>
      </c>
      <c r="B8" s="1">
        <v>42011</v>
      </c>
      <c r="C8">
        <v>112.9</v>
      </c>
    </row>
    <row r="9" spans="1:3">
      <c r="A9">
        <v>756</v>
      </c>
      <c r="B9" s="1">
        <v>42011</v>
      </c>
      <c r="C9">
        <v>112.5</v>
      </c>
    </row>
    <row r="10" spans="1:3">
      <c r="A10">
        <v>768</v>
      </c>
      <c r="B10" s="1">
        <v>42011</v>
      </c>
      <c r="C10">
        <v>112.1</v>
      </c>
    </row>
    <row r="11" spans="1:3">
      <c r="A11">
        <v>780</v>
      </c>
      <c r="B11" s="1">
        <v>42011</v>
      </c>
      <c r="C11">
        <v>111.6</v>
      </c>
    </row>
    <row r="12" spans="1:3">
      <c r="A12">
        <v>792</v>
      </c>
      <c r="B12" s="1">
        <v>42011</v>
      </c>
      <c r="C12">
        <v>111.2</v>
      </c>
    </row>
    <row r="13" spans="1:3">
      <c r="A13">
        <v>804</v>
      </c>
      <c r="B13" s="1">
        <v>42011</v>
      </c>
      <c r="C13">
        <v>110.7</v>
      </c>
    </row>
    <row r="14" spans="1:3">
      <c r="A14">
        <v>816</v>
      </c>
      <c r="B14" s="1">
        <v>42011</v>
      </c>
      <c r="C14">
        <v>110.2</v>
      </c>
    </row>
    <row r="15" spans="1:3">
      <c r="A15">
        <v>828</v>
      </c>
      <c r="B15" s="1">
        <v>42011</v>
      </c>
      <c r="C15">
        <v>109.7</v>
      </c>
    </row>
    <row r="16" spans="1:3">
      <c r="A16">
        <v>840</v>
      </c>
      <c r="B16" s="1">
        <v>42011</v>
      </c>
      <c r="C16">
        <v>109.2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C16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5.875" bestFit="1" customWidth="1"/>
  </cols>
  <sheetData>
    <row r="1" spans="1:3">
      <c r="A1">
        <v>660</v>
      </c>
      <c r="B1" s="1">
        <v>42011</v>
      </c>
      <c r="C1">
        <v>114</v>
      </c>
    </row>
    <row r="2" spans="1:3">
      <c r="A2">
        <v>672</v>
      </c>
      <c r="B2" s="1">
        <v>42011</v>
      </c>
      <c r="C2">
        <v>113.7</v>
      </c>
    </row>
    <row r="3" spans="1:3">
      <c r="A3">
        <v>684</v>
      </c>
      <c r="B3" s="1">
        <v>42011</v>
      </c>
      <c r="C3">
        <v>113.4</v>
      </c>
    </row>
    <row r="4" spans="1:3">
      <c r="A4">
        <v>696</v>
      </c>
      <c r="B4" s="1">
        <v>42011</v>
      </c>
      <c r="C4">
        <v>113.1</v>
      </c>
    </row>
    <row r="5" spans="1:3">
      <c r="A5">
        <v>708</v>
      </c>
      <c r="B5" s="1">
        <v>42011</v>
      </c>
      <c r="C5">
        <v>112.8</v>
      </c>
    </row>
    <row r="6" spans="1:3">
      <c r="A6">
        <v>720</v>
      </c>
      <c r="B6" s="1">
        <v>42011</v>
      </c>
      <c r="C6">
        <v>112.4</v>
      </c>
    </row>
    <row r="7" spans="1:3">
      <c r="A7">
        <v>732</v>
      </c>
      <c r="B7" s="1">
        <v>42011</v>
      </c>
      <c r="C7">
        <v>112</v>
      </c>
    </row>
    <row r="8" spans="1:3">
      <c r="A8">
        <v>744</v>
      </c>
      <c r="B8" s="1">
        <v>42011</v>
      </c>
      <c r="C8">
        <v>111.7</v>
      </c>
    </row>
    <row r="9" spans="1:3">
      <c r="A9">
        <v>756</v>
      </c>
      <c r="B9" s="1">
        <v>42011</v>
      </c>
      <c r="C9">
        <v>111.3</v>
      </c>
    </row>
    <row r="10" spans="1:3">
      <c r="A10">
        <v>768</v>
      </c>
      <c r="B10" s="1">
        <v>42011</v>
      </c>
      <c r="C10">
        <v>110.9</v>
      </c>
    </row>
    <row r="11" spans="1:3">
      <c r="A11">
        <v>780</v>
      </c>
      <c r="B11" s="1">
        <v>42011</v>
      </c>
      <c r="C11">
        <v>110.4</v>
      </c>
    </row>
    <row r="12" spans="1:3">
      <c r="A12">
        <v>792</v>
      </c>
      <c r="B12" s="1">
        <v>42011</v>
      </c>
      <c r="C12">
        <v>110</v>
      </c>
    </row>
    <row r="13" spans="1:3">
      <c r="A13">
        <v>804</v>
      </c>
      <c r="B13" s="1">
        <v>42011</v>
      </c>
      <c r="C13">
        <v>109.5</v>
      </c>
    </row>
    <row r="14" spans="1:3">
      <c r="A14">
        <v>816</v>
      </c>
      <c r="B14" s="1">
        <v>42011</v>
      </c>
      <c r="C14">
        <v>109</v>
      </c>
    </row>
    <row r="15" spans="1:3">
      <c r="A15">
        <v>828</v>
      </c>
      <c r="B15" s="1">
        <v>42011</v>
      </c>
      <c r="C15">
        <v>108.5</v>
      </c>
    </row>
    <row r="16" spans="1:3">
      <c r="A16">
        <v>840</v>
      </c>
      <c r="B16" s="1">
        <v>42011</v>
      </c>
      <c r="C16">
        <v>107.9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C16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5.875" bestFit="1" customWidth="1"/>
  </cols>
  <sheetData>
    <row r="1" spans="1:3">
      <c r="A1">
        <v>660</v>
      </c>
      <c r="B1" s="1">
        <v>42011</v>
      </c>
      <c r="C1">
        <v>132.9</v>
      </c>
    </row>
    <row r="2" spans="1:3">
      <c r="A2">
        <v>672</v>
      </c>
      <c r="B2" s="1">
        <v>42011</v>
      </c>
      <c r="C2">
        <v>132.9</v>
      </c>
    </row>
    <row r="3" spans="1:3">
      <c r="A3">
        <v>684</v>
      </c>
      <c r="B3" s="1">
        <v>42011</v>
      </c>
      <c r="C3">
        <v>132.9</v>
      </c>
    </row>
    <row r="4" spans="1:3">
      <c r="A4">
        <v>696</v>
      </c>
      <c r="B4" s="1">
        <v>42011</v>
      </c>
      <c r="C4">
        <v>132.9</v>
      </c>
    </row>
    <row r="5" spans="1:3">
      <c r="A5">
        <v>708</v>
      </c>
      <c r="B5" s="1">
        <v>42011</v>
      </c>
      <c r="C5">
        <v>132.9</v>
      </c>
    </row>
    <row r="6" spans="1:3">
      <c r="A6">
        <v>720</v>
      </c>
      <c r="B6" s="1">
        <v>42011</v>
      </c>
      <c r="C6">
        <v>132.9</v>
      </c>
    </row>
    <row r="7" spans="1:3">
      <c r="A7">
        <v>732</v>
      </c>
      <c r="B7" s="1">
        <v>42011</v>
      </c>
      <c r="C7">
        <v>132.9</v>
      </c>
    </row>
    <row r="8" spans="1:3">
      <c r="A8">
        <v>744</v>
      </c>
      <c r="B8" s="1">
        <v>42011</v>
      </c>
      <c r="C8">
        <v>132.9</v>
      </c>
    </row>
    <row r="9" spans="1:3">
      <c r="A9">
        <v>756</v>
      </c>
      <c r="B9" s="1">
        <v>42011</v>
      </c>
      <c r="C9">
        <v>132.9</v>
      </c>
    </row>
    <row r="10" spans="1:3">
      <c r="A10">
        <v>768</v>
      </c>
      <c r="B10" s="1">
        <v>42011</v>
      </c>
      <c r="C10">
        <v>132.9</v>
      </c>
    </row>
    <row r="11" spans="1:3">
      <c r="A11">
        <v>780</v>
      </c>
      <c r="B11" s="1">
        <v>42011</v>
      </c>
      <c r="C11">
        <v>132.80000000000001</v>
      </c>
    </row>
    <row r="12" spans="1:3">
      <c r="A12">
        <v>792</v>
      </c>
      <c r="B12" s="1">
        <v>42011</v>
      </c>
      <c r="C12">
        <v>132.80000000000001</v>
      </c>
    </row>
    <row r="13" spans="1:3">
      <c r="A13">
        <v>804</v>
      </c>
      <c r="B13" s="1">
        <v>42011</v>
      </c>
      <c r="C13">
        <v>132.80000000000001</v>
      </c>
    </row>
    <row r="14" spans="1:3">
      <c r="A14">
        <v>816</v>
      </c>
      <c r="B14" s="1">
        <v>42011</v>
      </c>
      <c r="C14">
        <v>132.80000000000001</v>
      </c>
    </row>
    <row r="15" spans="1:3">
      <c r="A15">
        <v>828</v>
      </c>
      <c r="B15" s="1">
        <v>42011</v>
      </c>
      <c r="C15">
        <v>132.80000000000001</v>
      </c>
    </row>
    <row r="16" spans="1:3">
      <c r="A16">
        <v>840</v>
      </c>
      <c r="B16" s="1">
        <v>42011</v>
      </c>
      <c r="C16">
        <v>132.80000000000001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C16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5.875" bestFit="1" customWidth="1"/>
  </cols>
  <sheetData>
    <row r="1" spans="1:3">
      <c r="A1">
        <v>660</v>
      </c>
      <c r="B1" s="1">
        <v>42011</v>
      </c>
      <c r="C1">
        <v>128.9</v>
      </c>
    </row>
    <row r="2" spans="1:3">
      <c r="A2">
        <v>672</v>
      </c>
      <c r="B2" s="1">
        <v>42011</v>
      </c>
      <c r="C2">
        <v>128.9</v>
      </c>
    </row>
    <row r="3" spans="1:3">
      <c r="A3">
        <v>684</v>
      </c>
      <c r="B3" s="1">
        <v>42011</v>
      </c>
      <c r="C3">
        <v>128.80000000000001</v>
      </c>
    </row>
    <row r="4" spans="1:3">
      <c r="A4">
        <v>696</v>
      </c>
      <c r="B4" s="1">
        <v>42011</v>
      </c>
      <c r="C4">
        <v>128.69999999999999</v>
      </c>
    </row>
    <row r="5" spans="1:3">
      <c r="A5">
        <v>708</v>
      </c>
      <c r="B5" s="1">
        <v>42011</v>
      </c>
      <c r="C5">
        <v>128.6</v>
      </c>
    </row>
    <row r="6" spans="1:3">
      <c r="A6">
        <v>720</v>
      </c>
      <c r="B6" s="1">
        <v>42011</v>
      </c>
      <c r="C6">
        <v>128.5</v>
      </c>
    </row>
    <row r="7" spans="1:3">
      <c r="A7">
        <v>732</v>
      </c>
      <c r="B7" s="1">
        <v>42011</v>
      </c>
      <c r="C7">
        <v>128.4</v>
      </c>
    </row>
    <row r="8" spans="1:3">
      <c r="A8">
        <v>744</v>
      </c>
      <c r="B8" s="1">
        <v>42011</v>
      </c>
      <c r="C8">
        <v>128.30000000000001</v>
      </c>
    </row>
    <row r="9" spans="1:3">
      <c r="A9">
        <v>756</v>
      </c>
      <c r="B9" s="1">
        <v>42011</v>
      </c>
      <c r="C9">
        <v>128.1</v>
      </c>
    </row>
    <row r="10" spans="1:3">
      <c r="A10">
        <v>768</v>
      </c>
      <c r="B10" s="1">
        <v>42011</v>
      </c>
      <c r="C10">
        <v>128</v>
      </c>
    </row>
    <row r="11" spans="1:3">
      <c r="A11">
        <v>780</v>
      </c>
      <c r="B11" s="1">
        <v>42011</v>
      </c>
      <c r="C11">
        <v>127.9</v>
      </c>
    </row>
    <row r="12" spans="1:3">
      <c r="A12">
        <v>792</v>
      </c>
      <c r="B12" s="1">
        <v>42011</v>
      </c>
      <c r="C12">
        <v>127.7</v>
      </c>
    </row>
    <row r="13" spans="1:3">
      <c r="A13">
        <v>804</v>
      </c>
      <c r="B13" s="1">
        <v>42011</v>
      </c>
      <c r="C13">
        <v>127.5</v>
      </c>
    </row>
    <row r="14" spans="1:3">
      <c r="A14">
        <v>816</v>
      </c>
      <c r="B14" s="1">
        <v>42011</v>
      </c>
      <c r="C14">
        <v>127.4</v>
      </c>
    </row>
    <row r="15" spans="1:3">
      <c r="A15">
        <v>828</v>
      </c>
      <c r="B15" s="1">
        <v>42011</v>
      </c>
      <c r="C15">
        <v>127.2</v>
      </c>
    </row>
    <row r="16" spans="1:3">
      <c r="A16">
        <v>840</v>
      </c>
      <c r="B16" s="1">
        <v>42011</v>
      </c>
      <c r="C16">
        <v>126.9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C16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5.875" bestFit="1" customWidth="1"/>
  </cols>
  <sheetData>
    <row r="1" spans="1:3">
      <c r="A1">
        <v>660</v>
      </c>
      <c r="B1" s="1">
        <v>42011</v>
      </c>
      <c r="C1">
        <v>132.80000000000001</v>
      </c>
    </row>
    <row r="2" spans="1:3">
      <c r="A2">
        <v>672</v>
      </c>
      <c r="B2" s="1">
        <v>42011</v>
      </c>
      <c r="C2">
        <v>132.69999999999999</v>
      </c>
    </row>
    <row r="3" spans="1:3">
      <c r="A3">
        <v>684</v>
      </c>
      <c r="B3" s="1">
        <v>42011</v>
      </c>
      <c r="C3">
        <v>132.69999999999999</v>
      </c>
    </row>
    <row r="4" spans="1:3">
      <c r="A4">
        <v>696</v>
      </c>
      <c r="B4" s="1">
        <v>42011</v>
      </c>
      <c r="C4">
        <v>132.69999999999999</v>
      </c>
    </row>
    <row r="5" spans="1:3">
      <c r="A5">
        <v>708</v>
      </c>
      <c r="B5" s="1">
        <v>42011</v>
      </c>
      <c r="C5">
        <v>132.69999999999999</v>
      </c>
    </row>
    <row r="6" spans="1:3">
      <c r="A6">
        <v>720</v>
      </c>
      <c r="B6" s="1">
        <v>42011</v>
      </c>
      <c r="C6">
        <v>132.69999999999999</v>
      </c>
    </row>
    <row r="7" spans="1:3">
      <c r="A7">
        <v>732</v>
      </c>
      <c r="B7" s="1">
        <v>42011</v>
      </c>
      <c r="C7">
        <v>132.69999999999999</v>
      </c>
    </row>
    <row r="8" spans="1:3">
      <c r="A8">
        <v>744</v>
      </c>
      <c r="B8" s="1">
        <v>42011</v>
      </c>
      <c r="C8">
        <v>132.69999999999999</v>
      </c>
    </row>
    <row r="9" spans="1:3">
      <c r="A9">
        <v>756</v>
      </c>
      <c r="B9" s="1">
        <v>42011</v>
      </c>
      <c r="C9">
        <v>132.6</v>
      </c>
    </row>
    <row r="10" spans="1:3">
      <c r="A10">
        <v>768</v>
      </c>
      <c r="B10" s="1">
        <v>42011</v>
      </c>
      <c r="C10">
        <v>132.6</v>
      </c>
    </row>
    <row r="11" spans="1:3">
      <c r="A11">
        <v>780</v>
      </c>
      <c r="B11" s="1">
        <v>42011</v>
      </c>
      <c r="C11">
        <v>132.6</v>
      </c>
    </row>
    <row r="12" spans="1:3">
      <c r="A12">
        <v>792</v>
      </c>
      <c r="B12" s="1">
        <v>42011</v>
      </c>
      <c r="C12">
        <v>132.6</v>
      </c>
    </row>
    <row r="13" spans="1:3">
      <c r="A13">
        <v>804</v>
      </c>
      <c r="B13" s="1">
        <v>42011</v>
      </c>
      <c r="C13">
        <v>132.6</v>
      </c>
    </row>
    <row r="14" spans="1:3">
      <c r="A14">
        <v>816</v>
      </c>
      <c r="B14" s="1">
        <v>42011</v>
      </c>
      <c r="C14">
        <v>132.5</v>
      </c>
    </row>
    <row r="15" spans="1:3">
      <c r="A15">
        <v>828</v>
      </c>
      <c r="B15" s="1">
        <v>42011</v>
      </c>
      <c r="C15">
        <v>132.5</v>
      </c>
    </row>
    <row r="16" spans="1:3">
      <c r="A16">
        <v>840</v>
      </c>
      <c r="B16" s="1">
        <v>42011</v>
      </c>
      <c r="C16">
        <v>132.5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C16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5.875" bestFit="1" customWidth="1"/>
  </cols>
  <sheetData>
    <row r="1" spans="1:3">
      <c r="A1">
        <v>660</v>
      </c>
      <c r="B1" s="1">
        <v>42011</v>
      </c>
      <c r="C1">
        <v>127</v>
      </c>
    </row>
    <row r="2" spans="1:3">
      <c r="A2">
        <v>672</v>
      </c>
      <c r="B2" s="1">
        <v>42011</v>
      </c>
      <c r="C2">
        <v>126.9</v>
      </c>
    </row>
    <row r="3" spans="1:3">
      <c r="A3">
        <v>684</v>
      </c>
      <c r="B3" s="1">
        <v>42011</v>
      </c>
      <c r="C3">
        <v>126.7</v>
      </c>
    </row>
    <row r="4" spans="1:3">
      <c r="A4">
        <v>696</v>
      </c>
      <c r="B4" s="1">
        <v>42011</v>
      </c>
      <c r="C4">
        <v>126.6</v>
      </c>
    </row>
    <row r="5" spans="1:3">
      <c r="A5">
        <v>708</v>
      </c>
      <c r="B5" s="1">
        <v>42011</v>
      </c>
      <c r="C5">
        <v>126.5</v>
      </c>
    </row>
    <row r="6" spans="1:3">
      <c r="A6">
        <v>720</v>
      </c>
      <c r="B6" s="1">
        <v>42011</v>
      </c>
      <c r="C6">
        <v>126.3</v>
      </c>
    </row>
    <row r="7" spans="1:3">
      <c r="A7">
        <v>732</v>
      </c>
      <c r="B7" s="1">
        <v>42011</v>
      </c>
      <c r="C7">
        <v>126.2</v>
      </c>
    </row>
    <row r="8" spans="1:3">
      <c r="A8">
        <v>744</v>
      </c>
      <c r="B8" s="1">
        <v>42011</v>
      </c>
      <c r="C8">
        <v>126</v>
      </c>
    </row>
    <row r="9" spans="1:3">
      <c r="A9">
        <v>756</v>
      </c>
      <c r="B9" s="1">
        <v>42011</v>
      </c>
      <c r="C9">
        <v>125.8</v>
      </c>
    </row>
    <row r="10" spans="1:3">
      <c r="A10">
        <v>768</v>
      </c>
      <c r="B10" s="1">
        <v>42011</v>
      </c>
      <c r="C10">
        <v>125.7</v>
      </c>
    </row>
    <row r="11" spans="1:3">
      <c r="A11">
        <v>780</v>
      </c>
      <c r="B11" s="1">
        <v>42011</v>
      </c>
      <c r="C11">
        <v>125.4</v>
      </c>
    </row>
    <row r="12" spans="1:3">
      <c r="A12">
        <v>792</v>
      </c>
      <c r="B12" s="1">
        <v>42011</v>
      </c>
      <c r="C12">
        <v>125.2</v>
      </c>
    </row>
    <row r="13" spans="1:3">
      <c r="A13">
        <v>804</v>
      </c>
      <c r="B13" s="1">
        <v>42011</v>
      </c>
      <c r="C13">
        <v>125</v>
      </c>
    </row>
    <row r="14" spans="1:3">
      <c r="A14">
        <v>816</v>
      </c>
      <c r="B14" s="1">
        <v>42011</v>
      </c>
      <c r="C14">
        <v>124.7</v>
      </c>
    </row>
    <row r="15" spans="1:3">
      <c r="A15">
        <v>828</v>
      </c>
      <c r="B15" s="1">
        <v>42011</v>
      </c>
      <c r="C15">
        <v>124.5</v>
      </c>
    </row>
    <row r="16" spans="1:3">
      <c r="A16">
        <v>840</v>
      </c>
      <c r="B16" s="1">
        <v>42011</v>
      </c>
      <c r="C16">
        <v>124.2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C16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5.875" bestFit="1" customWidth="1"/>
  </cols>
  <sheetData>
    <row r="1" spans="1:3">
      <c r="A1">
        <v>660</v>
      </c>
      <c r="B1" s="1">
        <v>42011</v>
      </c>
      <c r="C1">
        <v>132.6</v>
      </c>
    </row>
    <row r="2" spans="1:3">
      <c r="A2">
        <v>672</v>
      </c>
      <c r="B2" s="1">
        <v>42011</v>
      </c>
      <c r="C2">
        <v>132.6</v>
      </c>
    </row>
    <row r="3" spans="1:3">
      <c r="A3">
        <v>684</v>
      </c>
      <c r="B3" s="1">
        <v>42011</v>
      </c>
      <c r="C3">
        <v>132.5</v>
      </c>
    </row>
    <row r="4" spans="1:3">
      <c r="A4">
        <v>696</v>
      </c>
      <c r="B4" s="1">
        <v>42011</v>
      </c>
      <c r="C4">
        <v>132.5</v>
      </c>
    </row>
    <row r="5" spans="1:3">
      <c r="A5">
        <v>708</v>
      </c>
      <c r="B5" s="1">
        <v>42011</v>
      </c>
      <c r="C5">
        <v>132.5</v>
      </c>
    </row>
    <row r="6" spans="1:3">
      <c r="A6">
        <v>720</v>
      </c>
      <c r="B6" s="1">
        <v>42011</v>
      </c>
      <c r="C6">
        <v>132.5</v>
      </c>
    </row>
    <row r="7" spans="1:3">
      <c r="A7">
        <v>732</v>
      </c>
      <c r="B7" s="1">
        <v>42011</v>
      </c>
      <c r="C7">
        <v>132.5</v>
      </c>
    </row>
    <row r="8" spans="1:3">
      <c r="A8">
        <v>744</v>
      </c>
      <c r="B8" s="1">
        <v>42011</v>
      </c>
      <c r="C8">
        <v>132.4</v>
      </c>
    </row>
    <row r="9" spans="1:3">
      <c r="A9">
        <v>756</v>
      </c>
      <c r="B9" s="1">
        <v>42011</v>
      </c>
      <c r="C9">
        <v>132.4</v>
      </c>
    </row>
    <row r="10" spans="1:3">
      <c r="A10">
        <v>768</v>
      </c>
      <c r="B10" s="1">
        <v>42011</v>
      </c>
      <c r="C10">
        <v>132.4</v>
      </c>
    </row>
    <row r="11" spans="1:3">
      <c r="A11">
        <v>780</v>
      </c>
      <c r="B11" s="1">
        <v>42011</v>
      </c>
      <c r="C11">
        <v>132.4</v>
      </c>
    </row>
    <row r="12" spans="1:3">
      <c r="A12">
        <v>792</v>
      </c>
      <c r="B12" s="1">
        <v>42011</v>
      </c>
      <c r="C12">
        <v>132.30000000000001</v>
      </c>
    </row>
    <row r="13" spans="1:3">
      <c r="A13">
        <v>804</v>
      </c>
      <c r="B13" s="1">
        <v>42011</v>
      </c>
      <c r="C13">
        <v>132.30000000000001</v>
      </c>
    </row>
    <row r="14" spans="1:3">
      <c r="A14">
        <v>816</v>
      </c>
      <c r="B14" s="1">
        <v>42011</v>
      </c>
      <c r="C14">
        <v>132.30000000000001</v>
      </c>
    </row>
    <row r="15" spans="1:3">
      <c r="A15">
        <v>828</v>
      </c>
      <c r="B15" s="1">
        <v>42011</v>
      </c>
      <c r="C15">
        <v>132.19999999999999</v>
      </c>
    </row>
    <row r="16" spans="1:3">
      <c r="A16">
        <v>840</v>
      </c>
      <c r="B16" s="1">
        <v>42011</v>
      </c>
      <c r="C16">
        <v>132.19999999999999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C16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5.875" bestFit="1" customWidth="1"/>
  </cols>
  <sheetData>
    <row r="1" spans="1:3">
      <c r="A1">
        <v>660</v>
      </c>
      <c r="B1" s="1">
        <v>42011</v>
      </c>
      <c r="C1">
        <v>125.1</v>
      </c>
    </row>
    <row r="2" spans="1:3">
      <c r="A2">
        <v>672</v>
      </c>
      <c r="B2" s="1">
        <v>42011</v>
      </c>
      <c r="C2">
        <v>125</v>
      </c>
    </row>
    <row r="3" spans="1:3">
      <c r="A3">
        <v>684</v>
      </c>
      <c r="B3" s="1">
        <v>42011</v>
      </c>
      <c r="C3">
        <v>124.8</v>
      </c>
    </row>
    <row r="4" spans="1:3">
      <c r="A4">
        <v>696</v>
      </c>
      <c r="B4" s="1">
        <v>42011</v>
      </c>
      <c r="C4">
        <v>124.7</v>
      </c>
    </row>
    <row r="5" spans="1:3">
      <c r="A5">
        <v>708</v>
      </c>
      <c r="B5" s="1">
        <v>42011</v>
      </c>
      <c r="C5">
        <v>124.5</v>
      </c>
    </row>
    <row r="6" spans="1:3">
      <c r="A6">
        <v>720</v>
      </c>
      <c r="B6" s="1">
        <v>42011</v>
      </c>
      <c r="C6">
        <v>124.3</v>
      </c>
    </row>
    <row r="7" spans="1:3">
      <c r="A7">
        <v>732</v>
      </c>
      <c r="B7" s="1">
        <v>42011</v>
      </c>
      <c r="C7">
        <v>124.1</v>
      </c>
    </row>
    <row r="8" spans="1:3">
      <c r="A8">
        <v>744</v>
      </c>
      <c r="B8" s="1">
        <v>42011</v>
      </c>
      <c r="C8">
        <v>123.9</v>
      </c>
    </row>
    <row r="9" spans="1:3">
      <c r="A9">
        <v>756</v>
      </c>
      <c r="B9" s="1">
        <v>42011</v>
      </c>
      <c r="C9">
        <v>123.7</v>
      </c>
    </row>
    <row r="10" spans="1:3">
      <c r="A10">
        <v>768</v>
      </c>
      <c r="B10" s="1">
        <v>42011</v>
      </c>
      <c r="C10">
        <v>123.5</v>
      </c>
    </row>
    <row r="11" spans="1:3">
      <c r="A11">
        <v>780</v>
      </c>
      <c r="B11" s="1">
        <v>42011</v>
      </c>
      <c r="C11">
        <v>123.2</v>
      </c>
    </row>
    <row r="12" spans="1:3">
      <c r="A12">
        <v>792</v>
      </c>
      <c r="B12" s="1">
        <v>42011</v>
      </c>
      <c r="C12">
        <v>122.9</v>
      </c>
    </row>
    <row r="13" spans="1:3">
      <c r="A13">
        <v>804</v>
      </c>
      <c r="B13" s="1">
        <v>42011</v>
      </c>
      <c r="C13">
        <v>122.7</v>
      </c>
    </row>
    <row r="14" spans="1:3">
      <c r="A14">
        <v>816</v>
      </c>
      <c r="B14" s="1">
        <v>42011</v>
      </c>
      <c r="C14">
        <v>122.3</v>
      </c>
    </row>
    <row r="15" spans="1:3">
      <c r="A15">
        <v>828</v>
      </c>
      <c r="B15" s="1">
        <v>42011</v>
      </c>
      <c r="C15">
        <v>122</v>
      </c>
    </row>
    <row r="16" spans="1:3">
      <c r="A16">
        <v>840</v>
      </c>
      <c r="B16" s="1">
        <v>42011</v>
      </c>
      <c r="C16">
        <v>121.7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C16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5.875" bestFit="1" customWidth="1"/>
  </cols>
  <sheetData>
    <row r="1" spans="1:3">
      <c r="A1">
        <v>660</v>
      </c>
      <c r="B1" s="1">
        <v>42011</v>
      </c>
      <c r="C1">
        <v>132.4</v>
      </c>
    </row>
    <row r="2" spans="1:3">
      <c r="A2">
        <v>672</v>
      </c>
      <c r="B2" s="1">
        <v>42011</v>
      </c>
      <c r="C2">
        <v>132.4</v>
      </c>
    </row>
    <row r="3" spans="1:3">
      <c r="A3">
        <v>684</v>
      </c>
      <c r="B3" s="1">
        <v>42011</v>
      </c>
      <c r="C3">
        <v>132.30000000000001</v>
      </c>
    </row>
    <row r="4" spans="1:3">
      <c r="A4">
        <v>696</v>
      </c>
      <c r="B4" s="1">
        <v>42011</v>
      </c>
      <c r="C4">
        <v>132.30000000000001</v>
      </c>
    </row>
    <row r="5" spans="1:3">
      <c r="A5">
        <v>708</v>
      </c>
      <c r="B5" s="1">
        <v>42011</v>
      </c>
      <c r="C5">
        <v>132.30000000000001</v>
      </c>
    </row>
    <row r="6" spans="1:3">
      <c r="A6">
        <v>720</v>
      </c>
      <c r="B6" s="1">
        <v>42011</v>
      </c>
      <c r="C6">
        <v>132.30000000000001</v>
      </c>
    </row>
    <row r="7" spans="1:3">
      <c r="A7">
        <v>732</v>
      </c>
      <c r="B7" s="1">
        <v>42011</v>
      </c>
      <c r="C7">
        <v>132.30000000000001</v>
      </c>
    </row>
    <row r="8" spans="1:3">
      <c r="A8">
        <v>744</v>
      </c>
      <c r="B8" s="1">
        <v>42011</v>
      </c>
      <c r="C8">
        <v>132.19999999999999</v>
      </c>
    </row>
    <row r="9" spans="1:3">
      <c r="A9">
        <v>756</v>
      </c>
      <c r="B9" s="1">
        <v>42011</v>
      </c>
      <c r="C9">
        <v>132.19999999999999</v>
      </c>
    </row>
    <row r="10" spans="1:3">
      <c r="A10">
        <v>768</v>
      </c>
      <c r="B10" s="1">
        <v>42011</v>
      </c>
      <c r="C10">
        <v>132.19999999999999</v>
      </c>
    </row>
    <row r="11" spans="1:3">
      <c r="A11">
        <v>780</v>
      </c>
      <c r="B11" s="1">
        <v>42011</v>
      </c>
      <c r="C11">
        <v>132.1</v>
      </c>
    </row>
    <row r="12" spans="1:3">
      <c r="A12">
        <v>792</v>
      </c>
      <c r="B12" s="1">
        <v>42011</v>
      </c>
      <c r="C12">
        <v>132.1</v>
      </c>
    </row>
    <row r="13" spans="1:3">
      <c r="A13">
        <v>804</v>
      </c>
      <c r="B13" s="1">
        <v>42011</v>
      </c>
      <c r="C13">
        <v>132.1</v>
      </c>
    </row>
    <row r="14" spans="1:3">
      <c r="A14">
        <v>816</v>
      </c>
      <c r="B14" s="1">
        <v>42011</v>
      </c>
      <c r="C14">
        <v>132</v>
      </c>
    </row>
    <row r="15" spans="1:3">
      <c r="A15">
        <v>828</v>
      </c>
      <c r="B15" s="1">
        <v>42011</v>
      </c>
      <c r="C15">
        <v>132</v>
      </c>
    </row>
    <row r="16" spans="1:3">
      <c r="A16">
        <v>840</v>
      </c>
      <c r="B16" s="1">
        <v>42011</v>
      </c>
      <c r="C16">
        <v>131.9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C16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5.875" bestFit="1" customWidth="1"/>
  </cols>
  <sheetData>
    <row r="1" spans="1:3">
      <c r="A1">
        <v>660</v>
      </c>
      <c r="B1" s="1">
        <v>42011</v>
      </c>
      <c r="C1">
        <v>132.19999999999999</v>
      </c>
    </row>
    <row r="2" spans="1:3">
      <c r="A2">
        <v>672</v>
      </c>
      <c r="B2" s="1">
        <v>42011</v>
      </c>
      <c r="C2">
        <v>132.19999999999999</v>
      </c>
    </row>
    <row r="3" spans="1:3">
      <c r="A3">
        <v>684</v>
      </c>
      <c r="B3" s="1">
        <v>42011</v>
      </c>
      <c r="C3">
        <v>132.1</v>
      </c>
    </row>
    <row r="4" spans="1:3">
      <c r="A4">
        <v>696</v>
      </c>
      <c r="B4" s="1">
        <v>42011</v>
      </c>
      <c r="C4">
        <v>132.1</v>
      </c>
    </row>
    <row r="5" spans="1:3">
      <c r="A5">
        <v>708</v>
      </c>
      <c r="B5" s="1">
        <v>42011</v>
      </c>
      <c r="C5">
        <v>132.1</v>
      </c>
    </row>
    <row r="6" spans="1:3">
      <c r="A6">
        <v>720</v>
      </c>
      <c r="B6" s="1">
        <v>42011</v>
      </c>
      <c r="C6">
        <v>132.1</v>
      </c>
    </row>
    <row r="7" spans="1:3">
      <c r="A7">
        <v>732</v>
      </c>
      <c r="B7" s="1">
        <v>42011</v>
      </c>
      <c r="C7">
        <v>132</v>
      </c>
    </row>
    <row r="8" spans="1:3">
      <c r="A8">
        <v>744</v>
      </c>
      <c r="B8" s="1">
        <v>42011</v>
      </c>
      <c r="C8">
        <v>132</v>
      </c>
    </row>
    <row r="9" spans="1:3">
      <c r="A9">
        <v>756</v>
      </c>
      <c r="B9" s="1">
        <v>42011</v>
      </c>
      <c r="C9">
        <v>132</v>
      </c>
    </row>
    <row r="10" spans="1:3">
      <c r="A10">
        <v>768</v>
      </c>
      <c r="B10" s="1">
        <v>42011</v>
      </c>
      <c r="C10">
        <v>131.9</v>
      </c>
    </row>
    <row r="11" spans="1:3">
      <c r="A11">
        <v>780</v>
      </c>
      <c r="B11" s="1">
        <v>42011</v>
      </c>
      <c r="C11">
        <v>131.9</v>
      </c>
    </row>
    <row r="12" spans="1:3">
      <c r="A12">
        <v>792</v>
      </c>
      <c r="B12" s="1">
        <v>42011</v>
      </c>
      <c r="C12">
        <v>131.80000000000001</v>
      </c>
    </row>
    <row r="13" spans="1:3">
      <c r="A13">
        <v>804</v>
      </c>
      <c r="B13" s="1">
        <v>42011</v>
      </c>
      <c r="C13">
        <v>131.80000000000001</v>
      </c>
    </row>
    <row r="14" spans="1:3">
      <c r="A14">
        <v>816</v>
      </c>
      <c r="B14" s="1">
        <v>42011</v>
      </c>
      <c r="C14">
        <v>131.80000000000001</v>
      </c>
    </row>
    <row r="15" spans="1:3">
      <c r="A15">
        <v>828</v>
      </c>
      <c r="B15" s="1">
        <v>42011</v>
      </c>
      <c r="C15">
        <v>131.69999999999999</v>
      </c>
    </row>
    <row r="16" spans="1:3">
      <c r="A16">
        <v>840</v>
      </c>
      <c r="B16" s="1">
        <v>42011</v>
      </c>
      <c r="C16">
        <v>131.6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C16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5.875" bestFit="1" customWidth="1"/>
  </cols>
  <sheetData>
    <row r="1" spans="1:3">
      <c r="A1">
        <v>660</v>
      </c>
      <c r="B1" s="1">
        <v>42011</v>
      </c>
      <c r="C1">
        <v>123.4</v>
      </c>
    </row>
    <row r="2" spans="1:3">
      <c r="A2">
        <v>672</v>
      </c>
      <c r="B2" s="1">
        <v>42011</v>
      </c>
      <c r="C2">
        <v>123.2</v>
      </c>
    </row>
    <row r="3" spans="1:3">
      <c r="A3">
        <v>684</v>
      </c>
      <c r="B3" s="1">
        <v>42011</v>
      </c>
      <c r="C3">
        <v>123.1</v>
      </c>
    </row>
    <row r="4" spans="1:3">
      <c r="A4">
        <v>696</v>
      </c>
      <c r="B4" s="1">
        <v>42011</v>
      </c>
      <c r="C4">
        <v>122.9</v>
      </c>
    </row>
    <row r="5" spans="1:3">
      <c r="A5">
        <v>708</v>
      </c>
      <c r="B5" s="1">
        <v>42011</v>
      </c>
      <c r="C5">
        <v>122.7</v>
      </c>
    </row>
    <row r="6" spans="1:3">
      <c r="A6">
        <v>720</v>
      </c>
      <c r="B6" s="1">
        <v>42011</v>
      </c>
      <c r="C6">
        <v>122.5</v>
      </c>
    </row>
    <row r="7" spans="1:3">
      <c r="A7">
        <v>732</v>
      </c>
      <c r="B7" s="1">
        <v>42011</v>
      </c>
      <c r="C7">
        <v>122.2</v>
      </c>
    </row>
    <row r="8" spans="1:3">
      <c r="A8">
        <v>744</v>
      </c>
      <c r="B8" s="1">
        <v>42011</v>
      </c>
      <c r="C8">
        <v>122</v>
      </c>
    </row>
    <row r="9" spans="1:3">
      <c r="A9">
        <v>756</v>
      </c>
      <c r="B9" s="1">
        <v>42011</v>
      </c>
      <c r="C9">
        <v>121.7</v>
      </c>
    </row>
    <row r="10" spans="1:3">
      <c r="A10">
        <v>768</v>
      </c>
      <c r="B10" s="1">
        <v>42011</v>
      </c>
      <c r="C10">
        <v>121.5</v>
      </c>
    </row>
    <row r="11" spans="1:3">
      <c r="A11">
        <v>780</v>
      </c>
      <c r="B11" s="1">
        <v>42011</v>
      </c>
      <c r="C11">
        <v>121.2</v>
      </c>
    </row>
    <row r="12" spans="1:3">
      <c r="A12">
        <v>792</v>
      </c>
      <c r="B12" s="1">
        <v>42011</v>
      </c>
      <c r="C12">
        <v>120.8</v>
      </c>
    </row>
    <row r="13" spans="1:3">
      <c r="A13">
        <v>804</v>
      </c>
      <c r="B13" s="1">
        <v>42011</v>
      </c>
      <c r="C13">
        <v>120.5</v>
      </c>
    </row>
    <row r="14" spans="1:3">
      <c r="A14">
        <v>816</v>
      </c>
      <c r="B14" s="1">
        <v>42011</v>
      </c>
      <c r="C14">
        <v>120.1</v>
      </c>
    </row>
    <row r="15" spans="1:3">
      <c r="A15">
        <v>828</v>
      </c>
      <c r="B15" s="1">
        <v>42011</v>
      </c>
      <c r="C15">
        <v>119.8</v>
      </c>
    </row>
    <row r="16" spans="1:3">
      <c r="A16">
        <v>840</v>
      </c>
      <c r="B16" s="1">
        <v>42011</v>
      </c>
      <c r="C16">
        <v>119.3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C16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5.875" bestFit="1" customWidth="1"/>
  </cols>
  <sheetData>
    <row r="1" spans="1:3">
      <c r="A1">
        <v>660</v>
      </c>
      <c r="B1" s="1">
        <v>42011</v>
      </c>
      <c r="C1">
        <v>132</v>
      </c>
    </row>
    <row r="2" spans="1:3">
      <c r="A2">
        <v>672</v>
      </c>
      <c r="B2" s="1">
        <v>42011</v>
      </c>
      <c r="C2">
        <v>132</v>
      </c>
    </row>
    <row r="3" spans="1:3">
      <c r="A3">
        <v>684</v>
      </c>
      <c r="B3" s="1">
        <v>42011</v>
      </c>
      <c r="C3">
        <v>131.9</v>
      </c>
    </row>
    <row r="4" spans="1:3">
      <c r="A4">
        <v>696</v>
      </c>
      <c r="B4" s="1">
        <v>42011</v>
      </c>
      <c r="C4">
        <v>131.9</v>
      </c>
    </row>
    <row r="5" spans="1:3">
      <c r="A5">
        <v>708</v>
      </c>
      <c r="B5" s="1">
        <v>42011</v>
      </c>
      <c r="C5">
        <v>131.9</v>
      </c>
    </row>
    <row r="6" spans="1:3">
      <c r="A6">
        <v>720</v>
      </c>
      <c r="B6" s="1">
        <v>42011</v>
      </c>
      <c r="C6">
        <v>131.9</v>
      </c>
    </row>
    <row r="7" spans="1:3">
      <c r="A7">
        <v>732</v>
      </c>
      <c r="B7" s="1">
        <v>42011</v>
      </c>
      <c r="C7">
        <v>131.80000000000001</v>
      </c>
    </row>
    <row r="8" spans="1:3">
      <c r="A8">
        <v>744</v>
      </c>
      <c r="B8" s="1">
        <v>42011</v>
      </c>
      <c r="C8">
        <v>131.80000000000001</v>
      </c>
    </row>
    <row r="9" spans="1:3">
      <c r="A9">
        <v>756</v>
      </c>
      <c r="B9" s="1">
        <v>42011</v>
      </c>
      <c r="C9">
        <v>131.69999999999999</v>
      </c>
    </row>
    <row r="10" spans="1:3">
      <c r="A10">
        <v>768</v>
      </c>
      <c r="B10" s="1">
        <v>42011</v>
      </c>
      <c r="C10">
        <v>131.69999999999999</v>
      </c>
    </row>
    <row r="11" spans="1:3">
      <c r="A11">
        <v>780</v>
      </c>
      <c r="B11" s="1">
        <v>42011</v>
      </c>
      <c r="C11">
        <v>131.69999999999999</v>
      </c>
    </row>
    <row r="12" spans="1:3">
      <c r="A12">
        <v>792</v>
      </c>
      <c r="B12" s="1">
        <v>42011</v>
      </c>
      <c r="C12">
        <v>131.6</v>
      </c>
    </row>
    <row r="13" spans="1:3">
      <c r="A13">
        <v>804</v>
      </c>
      <c r="B13" s="1">
        <v>42011</v>
      </c>
      <c r="C13">
        <v>131.6</v>
      </c>
    </row>
    <row r="14" spans="1:3">
      <c r="A14">
        <v>816</v>
      </c>
      <c r="B14" s="1">
        <v>42011</v>
      </c>
      <c r="C14">
        <v>131.5</v>
      </c>
    </row>
    <row r="15" spans="1:3">
      <c r="A15">
        <v>828</v>
      </c>
      <c r="B15" s="1">
        <v>42011</v>
      </c>
      <c r="C15">
        <v>131.4</v>
      </c>
    </row>
    <row r="16" spans="1:3">
      <c r="A16">
        <v>840</v>
      </c>
      <c r="B16" s="1">
        <v>42011</v>
      </c>
      <c r="C16">
        <v>131.4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C16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5.875" bestFit="1" customWidth="1"/>
  </cols>
  <sheetData>
    <row r="1" spans="1:3">
      <c r="A1">
        <v>660</v>
      </c>
      <c r="B1" s="1">
        <v>42011</v>
      </c>
      <c r="C1">
        <v>121.8</v>
      </c>
    </row>
    <row r="2" spans="1:3">
      <c r="A2">
        <v>672</v>
      </c>
      <c r="B2" s="1">
        <v>42011</v>
      </c>
      <c r="C2">
        <v>121.6</v>
      </c>
    </row>
    <row r="3" spans="1:3">
      <c r="A3">
        <v>684</v>
      </c>
      <c r="B3" s="1">
        <v>42011</v>
      </c>
      <c r="C3">
        <v>121.4</v>
      </c>
    </row>
    <row r="4" spans="1:3">
      <c r="A4">
        <v>696</v>
      </c>
      <c r="B4" s="1">
        <v>42011</v>
      </c>
      <c r="C4">
        <v>121.2</v>
      </c>
    </row>
    <row r="5" spans="1:3">
      <c r="A5">
        <v>708</v>
      </c>
      <c r="B5" s="1">
        <v>42011</v>
      </c>
      <c r="C5">
        <v>121</v>
      </c>
    </row>
    <row r="6" spans="1:3">
      <c r="A6">
        <v>720</v>
      </c>
      <c r="B6" s="1">
        <v>42011</v>
      </c>
      <c r="C6">
        <v>120.7</v>
      </c>
    </row>
    <row r="7" spans="1:3">
      <c r="A7">
        <v>732</v>
      </c>
      <c r="B7" s="1">
        <v>42011</v>
      </c>
      <c r="C7">
        <v>120.5</v>
      </c>
    </row>
    <row r="8" spans="1:3">
      <c r="A8">
        <v>744</v>
      </c>
      <c r="B8" s="1">
        <v>42011</v>
      </c>
      <c r="C8">
        <v>120.2</v>
      </c>
    </row>
    <row r="9" spans="1:3">
      <c r="A9">
        <v>756</v>
      </c>
      <c r="B9" s="1">
        <v>42011</v>
      </c>
      <c r="C9">
        <v>119.9</v>
      </c>
    </row>
    <row r="10" spans="1:3">
      <c r="A10">
        <v>768</v>
      </c>
      <c r="B10" s="1">
        <v>42011</v>
      </c>
      <c r="C10">
        <v>119.6</v>
      </c>
    </row>
    <row r="11" spans="1:3">
      <c r="A11">
        <v>780</v>
      </c>
      <c r="B11" s="1">
        <v>42011</v>
      </c>
      <c r="C11">
        <v>119.3</v>
      </c>
    </row>
    <row r="12" spans="1:3">
      <c r="A12">
        <v>792</v>
      </c>
      <c r="B12" s="1">
        <v>42011</v>
      </c>
      <c r="C12">
        <v>118.9</v>
      </c>
    </row>
    <row r="13" spans="1:3">
      <c r="A13">
        <v>804</v>
      </c>
      <c r="B13" s="1">
        <v>42011</v>
      </c>
      <c r="C13">
        <v>118.5</v>
      </c>
    </row>
    <row r="14" spans="1:3">
      <c r="A14">
        <v>816</v>
      </c>
      <c r="B14" s="1">
        <v>42011</v>
      </c>
      <c r="C14">
        <v>118.1</v>
      </c>
    </row>
    <row r="15" spans="1:3">
      <c r="A15">
        <v>828</v>
      </c>
      <c r="B15" s="1">
        <v>42011</v>
      </c>
      <c r="C15">
        <v>117.7</v>
      </c>
    </row>
    <row r="16" spans="1:3">
      <c r="A16">
        <v>840</v>
      </c>
      <c r="B16" s="1">
        <v>42011</v>
      </c>
      <c r="C16">
        <v>117.2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C16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5.875" bestFit="1" customWidth="1"/>
  </cols>
  <sheetData>
    <row r="1" spans="1:3">
      <c r="A1">
        <v>660</v>
      </c>
      <c r="B1" s="1">
        <v>42011</v>
      </c>
      <c r="C1">
        <v>131.80000000000001</v>
      </c>
    </row>
    <row r="2" spans="1:3">
      <c r="A2">
        <v>672</v>
      </c>
      <c r="B2" s="1">
        <v>42011</v>
      </c>
      <c r="C2">
        <v>131.80000000000001</v>
      </c>
    </row>
    <row r="3" spans="1:3">
      <c r="A3">
        <v>684</v>
      </c>
      <c r="B3" s="1">
        <v>42011</v>
      </c>
      <c r="C3">
        <v>131.80000000000001</v>
      </c>
    </row>
    <row r="4" spans="1:3">
      <c r="A4">
        <v>696</v>
      </c>
      <c r="B4" s="1">
        <v>42011</v>
      </c>
      <c r="C4">
        <v>131.69999999999999</v>
      </c>
    </row>
    <row r="5" spans="1:3">
      <c r="A5">
        <v>708</v>
      </c>
      <c r="B5" s="1">
        <v>42011</v>
      </c>
      <c r="C5">
        <v>131.69999999999999</v>
      </c>
    </row>
    <row r="6" spans="1:3">
      <c r="A6">
        <v>720</v>
      </c>
      <c r="B6" s="1">
        <v>42011</v>
      </c>
      <c r="C6">
        <v>131.6</v>
      </c>
    </row>
    <row r="7" spans="1:3">
      <c r="A7">
        <v>732</v>
      </c>
      <c r="B7" s="1">
        <v>42011</v>
      </c>
      <c r="C7">
        <v>131.6</v>
      </c>
    </row>
    <row r="8" spans="1:3">
      <c r="A8">
        <v>744</v>
      </c>
      <c r="B8" s="1">
        <v>42011</v>
      </c>
      <c r="C8">
        <v>131.6</v>
      </c>
    </row>
    <row r="9" spans="1:3">
      <c r="A9">
        <v>756</v>
      </c>
      <c r="B9" s="1">
        <v>42011</v>
      </c>
      <c r="C9">
        <v>131.5</v>
      </c>
    </row>
    <row r="10" spans="1:3">
      <c r="A10">
        <v>768</v>
      </c>
      <c r="B10" s="1">
        <v>42011</v>
      </c>
      <c r="C10">
        <v>131.5</v>
      </c>
    </row>
    <row r="11" spans="1:3">
      <c r="A11">
        <v>780</v>
      </c>
      <c r="B11" s="1">
        <v>42011</v>
      </c>
      <c r="C11">
        <v>131.4</v>
      </c>
    </row>
    <row r="12" spans="1:3">
      <c r="A12">
        <v>792</v>
      </c>
      <c r="B12" s="1">
        <v>42011</v>
      </c>
      <c r="C12">
        <v>131.4</v>
      </c>
    </row>
    <row r="13" spans="1:3">
      <c r="A13">
        <v>804</v>
      </c>
      <c r="B13" s="1">
        <v>42011</v>
      </c>
      <c r="C13">
        <v>131.30000000000001</v>
      </c>
    </row>
    <row r="14" spans="1:3">
      <c r="A14">
        <v>816</v>
      </c>
      <c r="B14" s="1">
        <v>42011</v>
      </c>
      <c r="C14">
        <v>131.19999999999999</v>
      </c>
    </row>
    <row r="15" spans="1:3">
      <c r="A15">
        <v>828</v>
      </c>
      <c r="B15" s="1">
        <v>42011</v>
      </c>
      <c r="C15">
        <v>131.19999999999999</v>
      </c>
    </row>
    <row r="16" spans="1:3">
      <c r="A16">
        <v>840</v>
      </c>
      <c r="B16" s="1">
        <v>42011</v>
      </c>
      <c r="C16">
        <v>131.1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C16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5.875" bestFit="1" customWidth="1"/>
  </cols>
  <sheetData>
    <row r="1" spans="1:3">
      <c r="A1">
        <v>660</v>
      </c>
      <c r="B1" s="1">
        <v>42011</v>
      </c>
      <c r="C1">
        <v>120.3</v>
      </c>
    </row>
    <row r="2" spans="1:3">
      <c r="A2">
        <v>672</v>
      </c>
      <c r="B2" s="1">
        <v>42011</v>
      </c>
      <c r="C2">
        <v>120.1</v>
      </c>
    </row>
    <row r="3" spans="1:3">
      <c r="A3">
        <v>684</v>
      </c>
      <c r="B3" s="1">
        <v>42011</v>
      </c>
      <c r="C3">
        <v>119.8</v>
      </c>
    </row>
    <row r="4" spans="1:3">
      <c r="A4">
        <v>696</v>
      </c>
      <c r="B4" s="1">
        <v>42011</v>
      </c>
      <c r="C4">
        <v>119.6</v>
      </c>
    </row>
    <row r="5" spans="1:3">
      <c r="A5">
        <v>708</v>
      </c>
      <c r="B5" s="1">
        <v>42011</v>
      </c>
      <c r="C5">
        <v>119.4</v>
      </c>
    </row>
    <row r="6" spans="1:3">
      <c r="A6">
        <v>720</v>
      </c>
      <c r="B6" s="1">
        <v>42011</v>
      </c>
      <c r="C6">
        <v>119.1</v>
      </c>
    </row>
    <row r="7" spans="1:3">
      <c r="A7">
        <v>732</v>
      </c>
      <c r="B7" s="1">
        <v>42011</v>
      </c>
      <c r="C7">
        <v>118.8</v>
      </c>
    </row>
    <row r="8" spans="1:3">
      <c r="A8">
        <v>744</v>
      </c>
      <c r="B8" s="1">
        <v>42011</v>
      </c>
      <c r="C8">
        <v>118.5</v>
      </c>
    </row>
    <row r="9" spans="1:3">
      <c r="A9">
        <v>756</v>
      </c>
      <c r="B9" s="1">
        <v>42011</v>
      </c>
      <c r="C9">
        <v>118.2</v>
      </c>
    </row>
    <row r="10" spans="1:3">
      <c r="A10">
        <v>768</v>
      </c>
      <c r="B10" s="1">
        <v>42011</v>
      </c>
      <c r="C10">
        <v>117.8</v>
      </c>
    </row>
    <row r="11" spans="1:3">
      <c r="A11">
        <v>780</v>
      </c>
      <c r="B11" s="1">
        <v>42011</v>
      </c>
      <c r="C11">
        <v>117.5</v>
      </c>
    </row>
    <row r="12" spans="1:3">
      <c r="A12">
        <v>792</v>
      </c>
      <c r="B12" s="1">
        <v>42011</v>
      </c>
      <c r="C12">
        <v>117.1</v>
      </c>
    </row>
    <row r="13" spans="1:3">
      <c r="A13">
        <v>804</v>
      </c>
      <c r="B13" s="1">
        <v>42011</v>
      </c>
      <c r="C13">
        <v>116.7</v>
      </c>
    </row>
    <row r="14" spans="1:3">
      <c r="A14">
        <v>816</v>
      </c>
      <c r="B14" s="1">
        <v>42011</v>
      </c>
      <c r="C14">
        <v>116.3</v>
      </c>
    </row>
    <row r="15" spans="1:3">
      <c r="A15">
        <v>828</v>
      </c>
      <c r="B15" s="1">
        <v>42011</v>
      </c>
      <c r="C15">
        <v>115.8</v>
      </c>
    </row>
    <row r="16" spans="1:3">
      <c r="A16">
        <v>840</v>
      </c>
      <c r="B16" s="1">
        <v>42011</v>
      </c>
      <c r="C16">
        <v>115.3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C16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5.875" bestFit="1" customWidth="1"/>
  </cols>
  <sheetData>
    <row r="1" spans="1:3">
      <c r="A1">
        <v>660</v>
      </c>
      <c r="B1" s="1">
        <v>42011</v>
      </c>
      <c r="C1">
        <v>131.6</v>
      </c>
    </row>
    <row r="2" spans="1:3">
      <c r="A2">
        <v>672</v>
      </c>
      <c r="B2" s="1">
        <v>42011</v>
      </c>
      <c r="C2">
        <v>131.6</v>
      </c>
    </row>
    <row r="3" spans="1:3">
      <c r="A3">
        <v>684</v>
      </c>
      <c r="B3" s="1">
        <v>42011</v>
      </c>
      <c r="C3">
        <v>131.6</v>
      </c>
    </row>
    <row r="4" spans="1:3">
      <c r="A4">
        <v>696</v>
      </c>
      <c r="B4" s="1">
        <v>42011</v>
      </c>
      <c r="C4">
        <v>131.5</v>
      </c>
    </row>
    <row r="5" spans="1:3">
      <c r="A5">
        <v>708</v>
      </c>
      <c r="B5" s="1">
        <v>42011</v>
      </c>
      <c r="C5">
        <v>131.5</v>
      </c>
    </row>
    <row r="6" spans="1:3">
      <c r="A6">
        <v>720</v>
      </c>
      <c r="B6" s="1">
        <v>42011</v>
      </c>
      <c r="C6">
        <v>131.4</v>
      </c>
    </row>
    <row r="7" spans="1:3">
      <c r="A7">
        <v>732</v>
      </c>
      <c r="B7" s="1">
        <v>42011</v>
      </c>
      <c r="C7">
        <v>131.4</v>
      </c>
    </row>
    <row r="8" spans="1:3">
      <c r="A8">
        <v>744</v>
      </c>
      <c r="B8" s="1">
        <v>42011</v>
      </c>
      <c r="C8">
        <v>131.30000000000001</v>
      </c>
    </row>
    <row r="9" spans="1:3">
      <c r="A9">
        <v>756</v>
      </c>
      <c r="B9" s="1">
        <v>42011</v>
      </c>
      <c r="C9">
        <v>131.30000000000001</v>
      </c>
    </row>
    <row r="10" spans="1:3">
      <c r="A10">
        <v>768</v>
      </c>
      <c r="B10" s="1">
        <v>42011</v>
      </c>
      <c r="C10">
        <v>131.19999999999999</v>
      </c>
    </row>
    <row r="11" spans="1:3">
      <c r="A11">
        <v>780</v>
      </c>
      <c r="B11" s="1">
        <v>42011</v>
      </c>
      <c r="C11">
        <v>131.19999999999999</v>
      </c>
    </row>
    <row r="12" spans="1:3">
      <c r="A12">
        <v>792</v>
      </c>
      <c r="B12" s="1">
        <v>42011</v>
      </c>
      <c r="C12">
        <v>131.1</v>
      </c>
    </row>
    <row r="13" spans="1:3">
      <c r="A13">
        <v>804</v>
      </c>
      <c r="B13" s="1">
        <v>42011</v>
      </c>
      <c r="C13">
        <v>131.1</v>
      </c>
    </row>
    <row r="14" spans="1:3">
      <c r="A14">
        <v>816</v>
      </c>
      <c r="B14" s="1">
        <v>42011</v>
      </c>
      <c r="C14">
        <v>131</v>
      </c>
    </row>
    <row r="15" spans="1:3">
      <c r="A15">
        <v>828</v>
      </c>
      <c r="B15" s="1">
        <v>42011</v>
      </c>
      <c r="C15">
        <v>130.9</v>
      </c>
    </row>
    <row r="16" spans="1:3">
      <c r="A16">
        <v>840</v>
      </c>
      <c r="B16" s="1">
        <v>42011</v>
      </c>
      <c r="C16">
        <v>130.80000000000001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C16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5.875" bestFit="1" customWidth="1"/>
  </cols>
  <sheetData>
    <row r="1" spans="1:3">
      <c r="A1">
        <v>660</v>
      </c>
      <c r="B1" s="1">
        <v>42011</v>
      </c>
      <c r="C1">
        <v>118.9</v>
      </c>
    </row>
    <row r="2" spans="1:3">
      <c r="A2">
        <v>672</v>
      </c>
      <c r="B2" s="1">
        <v>42011</v>
      </c>
      <c r="C2">
        <v>118.6</v>
      </c>
    </row>
    <row r="3" spans="1:3">
      <c r="A3">
        <v>684</v>
      </c>
      <c r="B3" s="1">
        <v>42011</v>
      </c>
      <c r="C3">
        <v>118.4</v>
      </c>
    </row>
    <row r="4" spans="1:3">
      <c r="A4">
        <v>696</v>
      </c>
      <c r="B4" s="1">
        <v>42011</v>
      </c>
      <c r="C4">
        <v>118.1</v>
      </c>
    </row>
    <row r="5" spans="1:3">
      <c r="A5">
        <v>708</v>
      </c>
      <c r="B5" s="1">
        <v>42011</v>
      </c>
      <c r="C5">
        <v>117.9</v>
      </c>
    </row>
    <row r="6" spans="1:3">
      <c r="A6">
        <v>720</v>
      </c>
      <c r="B6" s="1">
        <v>42011</v>
      </c>
      <c r="C6">
        <v>117.6</v>
      </c>
    </row>
    <row r="7" spans="1:3">
      <c r="A7">
        <v>732</v>
      </c>
      <c r="B7" s="1">
        <v>42011</v>
      </c>
      <c r="C7">
        <v>117.3</v>
      </c>
    </row>
    <row r="8" spans="1:3">
      <c r="A8">
        <v>744</v>
      </c>
      <c r="B8" s="1">
        <v>42011</v>
      </c>
      <c r="C8">
        <v>116.9</v>
      </c>
    </row>
    <row r="9" spans="1:3">
      <c r="A9">
        <v>756</v>
      </c>
      <c r="B9" s="1">
        <v>42011</v>
      </c>
      <c r="C9">
        <v>116.6</v>
      </c>
    </row>
    <row r="10" spans="1:3">
      <c r="A10">
        <v>768</v>
      </c>
      <c r="B10" s="1">
        <v>42011</v>
      </c>
      <c r="C10">
        <v>116.2</v>
      </c>
    </row>
    <row r="11" spans="1:3">
      <c r="A11">
        <v>780</v>
      </c>
      <c r="B11" s="1">
        <v>42011</v>
      </c>
      <c r="C11">
        <v>115.9</v>
      </c>
    </row>
    <row r="12" spans="1:3">
      <c r="A12">
        <v>792</v>
      </c>
      <c r="B12" s="1">
        <v>42011</v>
      </c>
      <c r="C12">
        <v>115.4</v>
      </c>
    </row>
    <row r="13" spans="1:3">
      <c r="A13">
        <v>804</v>
      </c>
      <c r="B13" s="1">
        <v>42011</v>
      </c>
      <c r="C13">
        <v>115</v>
      </c>
    </row>
    <row r="14" spans="1:3">
      <c r="A14">
        <v>816</v>
      </c>
      <c r="B14" s="1">
        <v>42011</v>
      </c>
      <c r="C14">
        <v>114.6</v>
      </c>
    </row>
    <row r="15" spans="1:3">
      <c r="A15">
        <v>828</v>
      </c>
      <c r="B15" s="1">
        <v>42011</v>
      </c>
      <c r="C15">
        <v>114.1</v>
      </c>
    </row>
    <row r="16" spans="1:3">
      <c r="A16">
        <v>840</v>
      </c>
      <c r="B16" s="1">
        <v>42011</v>
      </c>
      <c r="C16">
        <v>113.6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C1"/>
  <sheetViews>
    <sheetView workbookViewId="0">
      <selection activeCell="C1" sqref="C1"/>
    </sheetView>
  </sheetViews>
  <sheetFormatPr defaultRowHeight="15.75"/>
  <cols>
    <col min="1" max="1" width="2.875" bestFit="1" customWidth="1"/>
    <col min="2" max="2" width="10.125" bestFit="1" customWidth="1"/>
    <col min="3" max="3" width="5.875" bestFit="1" customWidth="1"/>
  </cols>
  <sheetData>
    <row r="1" spans="1:3">
      <c r="A1">
        <v>20</v>
      </c>
      <c r="B1" s="1">
        <v>42011</v>
      </c>
      <c r="C1">
        <v>4.5620000000000003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C1"/>
  <sheetViews>
    <sheetView workbookViewId="0"/>
  </sheetViews>
  <sheetFormatPr defaultRowHeight="15.75"/>
  <cols>
    <col min="1" max="1" width="2.875" bestFit="1" customWidth="1"/>
    <col min="2" max="2" width="10.125" bestFit="1" customWidth="1"/>
    <col min="3" max="3" width="5.875" bestFit="1" customWidth="1"/>
  </cols>
  <sheetData>
    <row r="1" spans="1:3">
      <c r="A1">
        <v>20</v>
      </c>
      <c r="B1" s="1">
        <v>42011</v>
      </c>
      <c r="C1">
        <v>5.3730000000000002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C16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4.875" bestFit="1" customWidth="1"/>
  </cols>
  <sheetData>
    <row r="1" spans="1:3">
      <c r="A1">
        <v>660</v>
      </c>
      <c r="B1" s="1">
        <v>42011</v>
      </c>
      <c r="C1">
        <v>75.099999999999994</v>
      </c>
    </row>
    <row r="2" spans="1:3">
      <c r="A2">
        <v>672</v>
      </c>
      <c r="B2" s="1">
        <v>42011</v>
      </c>
      <c r="C2">
        <v>75.099999999999994</v>
      </c>
    </row>
    <row r="3" spans="1:3">
      <c r="A3">
        <v>684</v>
      </c>
      <c r="B3" s="1">
        <v>42011</v>
      </c>
      <c r="C3">
        <v>75.099999999999994</v>
      </c>
    </row>
    <row r="4" spans="1:3">
      <c r="A4">
        <v>696</v>
      </c>
      <c r="B4" s="1">
        <v>42011</v>
      </c>
      <c r="C4">
        <v>75.099999999999994</v>
      </c>
    </row>
    <row r="5" spans="1:3">
      <c r="A5">
        <v>708</v>
      </c>
      <c r="B5" s="1">
        <v>42011</v>
      </c>
      <c r="C5">
        <v>75.099999999999994</v>
      </c>
    </row>
    <row r="6" spans="1:3">
      <c r="A6">
        <v>720</v>
      </c>
      <c r="B6" s="1">
        <v>42011</v>
      </c>
      <c r="C6">
        <v>75.099999999999994</v>
      </c>
    </row>
    <row r="7" spans="1:3">
      <c r="A7">
        <v>732</v>
      </c>
      <c r="B7" s="1">
        <v>42011</v>
      </c>
      <c r="C7">
        <v>75.099999999999994</v>
      </c>
    </row>
    <row r="8" spans="1:3">
      <c r="A8">
        <v>744</v>
      </c>
      <c r="B8" s="1">
        <v>42011</v>
      </c>
      <c r="C8">
        <v>75.099999999999994</v>
      </c>
    </row>
    <row r="9" spans="1:3">
      <c r="A9">
        <v>756</v>
      </c>
      <c r="B9" s="1">
        <v>42011</v>
      </c>
      <c r="C9">
        <v>75.099999999999994</v>
      </c>
    </row>
    <row r="10" spans="1:3">
      <c r="A10">
        <v>768</v>
      </c>
      <c r="B10" s="1">
        <v>42011</v>
      </c>
      <c r="C10">
        <v>75.099999999999994</v>
      </c>
    </row>
    <row r="11" spans="1:3">
      <c r="A11">
        <v>780</v>
      </c>
      <c r="B11" s="1">
        <v>42011</v>
      </c>
      <c r="C11">
        <v>75.099999999999994</v>
      </c>
    </row>
    <row r="12" spans="1:3">
      <c r="A12">
        <v>792</v>
      </c>
      <c r="B12" s="1">
        <v>42011</v>
      </c>
      <c r="C12">
        <v>75.099999999999994</v>
      </c>
    </row>
    <row r="13" spans="1:3">
      <c r="A13">
        <v>804</v>
      </c>
      <c r="B13" s="1">
        <v>42011</v>
      </c>
      <c r="C13">
        <v>75.099999999999994</v>
      </c>
    </row>
    <row r="14" spans="1:3">
      <c r="A14">
        <v>816</v>
      </c>
      <c r="B14" s="1">
        <v>42011</v>
      </c>
      <c r="C14">
        <v>75.099999999999994</v>
      </c>
    </row>
    <row r="15" spans="1:3">
      <c r="A15">
        <v>828</v>
      </c>
      <c r="B15" s="1">
        <v>42011</v>
      </c>
      <c r="C15">
        <v>75.099999999999994</v>
      </c>
    </row>
    <row r="16" spans="1:3">
      <c r="A16">
        <v>840</v>
      </c>
      <c r="B16" s="1">
        <v>42011</v>
      </c>
      <c r="C16">
        <v>75.099999999999994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C16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4.875" bestFit="1" customWidth="1"/>
  </cols>
  <sheetData>
    <row r="1" spans="1:3">
      <c r="A1">
        <v>660</v>
      </c>
      <c r="B1" s="1">
        <v>42011</v>
      </c>
      <c r="C1">
        <v>75.8</v>
      </c>
    </row>
    <row r="2" spans="1:3">
      <c r="A2">
        <v>672</v>
      </c>
      <c r="B2" s="1">
        <v>42011</v>
      </c>
      <c r="C2">
        <v>75.8</v>
      </c>
    </row>
    <row r="3" spans="1:3">
      <c r="A3">
        <v>684</v>
      </c>
      <c r="B3" s="1">
        <v>42011</v>
      </c>
      <c r="C3">
        <v>75.900000000000006</v>
      </c>
    </row>
    <row r="4" spans="1:3">
      <c r="A4">
        <v>696</v>
      </c>
      <c r="B4" s="1">
        <v>42011</v>
      </c>
      <c r="C4">
        <v>75.900000000000006</v>
      </c>
    </row>
    <row r="5" spans="1:3">
      <c r="A5">
        <v>708</v>
      </c>
      <c r="B5" s="1">
        <v>42011</v>
      </c>
      <c r="C5">
        <v>75.900000000000006</v>
      </c>
    </row>
    <row r="6" spans="1:3">
      <c r="A6">
        <v>720</v>
      </c>
      <c r="B6" s="1">
        <v>42011</v>
      </c>
      <c r="C6">
        <v>75.900000000000006</v>
      </c>
    </row>
    <row r="7" spans="1:3">
      <c r="A7">
        <v>732</v>
      </c>
      <c r="B7" s="1">
        <v>42011</v>
      </c>
      <c r="C7">
        <v>75.900000000000006</v>
      </c>
    </row>
    <row r="8" spans="1:3">
      <c r="A8">
        <v>744</v>
      </c>
      <c r="B8" s="1">
        <v>42011</v>
      </c>
      <c r="C8">
        <v>76</v>
      </c>
    </row>
    <row r="9" spans="1:3">
      <c r="A9">
        <v>756</v>
      </c>
      <c r="B9" s="1">
        <v>42011</v>
      </c>
      <c r="C9">
        <v>76</v>
      </c>
    </row>
    <row r="10" spans="1:3">
      <c r="A10">
        <v>768</v>
      </c>
      <c r="B10" s="1">
        <v>42011</v>
      </c>
      <c r="C10">
        <v>76</v>
      </c>
    </row>
    <row r="11" spans="1:3">
      <c r="A11">
        <v>780</v>
      </c>
      <c r="B11" s="1">
        <v>42011</v>
      </c>
      <c r="C11">
        <v>76</v>
      </c>
    </row>
    <row r="12" spans="1:3">
      <c r="A12">
        <v>792</v>
      </c>
      <c r="B12" s="1">
        <v>42011</v>
      </c>
      <c r="C12">
        <v>76.099999999999994</v>
      </c>
    </row>
    <row r="13" spans="1:3">
      <c r="A13">
        <v>804</v>
      </c>
      <c r="B13" s="1">
        <v>42011</v>
      </c>
      <c r="C13">
        <v>76.099999999999994</v>
      </c>
    </row>
    <row r="14" spans="1:3">
      <c r="A14">
        <v>816</v>
      </c>
      <c r="B14" s="1">
        <v>42011</v>
      </c>
      <c r="C14">
        <v>76.099999999999994</v>
      </c>
    </row>
    <row r="15" spans="1:3">
      <c r="A15">
        <v>828</v>
      </c>
      <c r="B15" s="1">
        <v>42011</v>
      </c>
      <c r="C15">
        <v>76.2</v>
      </c>
    </row>
    <row r="16" spans="1:3">
      <c r="A16">
        <v>840</v>
      </c>
      <c r="B16" s="1">
        <v>42011</v>
      </c>
      <c r="C16">
        <v>76.2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C16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4.875" bestFit="1" customWidth="1"/>
  </cols>
  <sheetData>
    <row r="1" spans="1:3">
      <c r="A1">
        <v>660</v>
      </c>
      <c r="B1" s="1">
        <v>42011</v>
      </c>
      <c r="C1">
        <v>83.4</v>
      </c>
    </row>
    <row r="2" spans="1:3">
      <c r="A2">
        <v>672</v>
      </c>
      <c r="B2" s="1">
        <v>42011</v>
      </c>
      <c r="C2">
        <v>83.6</v>
      </c>
    </row>
    <row r="3" spans="1:3">
      <c r="A3">
        <v>684</v>
      </c>
      <c r="B3" s="1">
        <v>42011</v>
      </c>
      <c r="C3">
        <v>83.8</v>
      </c>
    </row>
    <row r="4" spans="1:3">
      <c r="A4">
        <v>696</v>
      </c>
      <c r="B4" s="1">
        <v>42011</v>
      </c>
      <c r="C4">
        <v>83.9</v>
      </c>
    </row>
    <row r="5" spans="1:3">
      <c r="A5">
        <v>708</v>
      </c>
      <c r="B5" s="1">
        <v>42011</v>
      </c>
      <c r="C5">
        <v>84.1</v>
      </c>
    </row>
    <row r="6" spans="1:3">
      <c r="A6">
        <v>720</v>
      </c>
      <c r="B6" s="1">
        <v>42011</v>
      </c>
      <c r="C6">
        <v>84.4</v>
      </c>
    </row>
    <row r="7" spans="1:3">
      <c r="A7">
        <v>732</v>
      </c>
      <c r="B7" s="1">
        <v>42011</v>
      </c>
      <c r="C7">
        <v>84.6</v>
      </c>
    </row>
    <row r="8" spans="1:3">
      <c r="A8">
        <v>744</v>
      </c>
      <c r="B8" s="1">
        <v>42011</v>
      </c>
      <c r="C8">
        <v>84.8</v>
      </c>
    </row>
    <row r="9" spans="1:3">
      <c r="A9">
        <v>756</v>
      </c>
      <c r="B9" s="1">
        <v>42011</v>
      </c>
      <c r="C9">
        <v>85.1</v>
      </c>
    </row>
    <row r="10" spans="1:3">
      <c r="A10">
        <v>768</v>
      </c>
      <c r="B10" s="1">
        <v>42011</v>
      </c>
      <c r="C10">
        <v>85.4</v>
      </c>
    </row>
    <row r="11" spans="1:3">
      <c r="A11">
        <v>780</v>
      </c>
      <c r="B11" s="1">
        <v>42011</v>
      </c>
      <c r="C11">
        <v>85.7</v>
      </c>
    </row>
    <row r="12" spans="1:3">
      <c r="A12">
        <v>792</v>
      </c>
      <c r="B12" s="1">
        <v>42011</v>
      </c>
      <c r="C12">
        <v>86</v>
      </c>
    </row>
    <row r="13" spans="1:3">
      <c r="A13">
        <v>804</v>
      </c>
      <c r="B13" s="1">
        <v>42011</v>
      </c>
      <c r="C13">
        <v>86.3</v>
      </c>
    </row>
    <row r="14" spans="1:3">
      <c r="A14">
        <v>816</v>
      </c>
      <c r="B14" s="1">
        <v>42011</v>
      </c>
      <c r="C14">
        <v>86.7</v>
      </c>
    </row>
    <row r="15" spans="1:3">
      <c r="A15">
        <v>828</v>
      </c>
      <c r="B15" s="1">
        <v>42011</v>
      </c>
      <c r="C15">
        <v>87.1</v>
      </c>
    </row>
    <row r="16" spans="1:3">
      <c r="A16">
        <v>840</v>
      </c>
      <c r="B16" s="1">
        <v>42011</v>
      </c>
      <c r="C16">
        <v>87.5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C16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4.875" bestFit="1" customWidth="1"/>
  </cols>
  <sheetData>
    <row r="1" spans="1:3">
      <c r="A1">
        <v>660</v>
      </c>
      <c r="B1" s="1">
        <v>42011</v>
      </c>
      <c r="C1">
        <v>75.900000000000006</v>
      </c>
    </row>
    <row r="2" spans="1:3">
      <c r="A2">
        <v>672</v>
      </c>
      <c r="B2" s="1">
        <v>42011</v>
      </c>
      <c r="C2">
        <v>75.900000000000006</v>
      </c>
    </row>
    <row r="3" spans="1:3">
      <c r="A3">
        <v>684</v>
      </c>
      <c r="B3" s="1">
        <v>42011</v>
      </c>
      <c r="C3">
        <v>75.900000000000006</v>
      </c>
    </row>
    <row r="4" spans="1:3">
      <c r="A4">
        <v>696</v>
      </c>
      <c r="B4" s="1">
        <v>42011</v>
      </c>
      <c r="C4">
        <v>76</v>
      </c>
    </row>
    <row r="5" spans="1:3">
      <c r="A5">
        <v>708</v>
      </c>
      <c r="B5" s="1">
        <v>42011</v>
      </c>
      <c r="C5">
        <v>76</v>
      </c>
    </row>
    <row r="6" spans="1:3">
      <c r="A6">
        <v>720</v>
      </c>
      <c r="B6" s="1">
        <v>42011</v>
      </c>
      <c r="C6">
        <v>76</v>
      </c>
    </row>
    <row r="7" spans="1:3">
      <c r="A7">
        <v>732</v>
      </c>
      <c r="B7" s="1">
        <v>42011</v>
      </c>
      <c r="C7">
        <v>76</v>
      </c>
    </row>
    <row r="8" spans="1:3">
      <c r="A8">
        <v>744</v>
      </c>
      <c r="B8" s="1">
        <v>42011</v>
      </c>
      <c r="C8">
        <v>76.099999999999994</v>
      </c>
    </row>
    <row r="9" spans="1:3">
      <c r="A9">
        <v>756</v>
      </c>
      <c r="B9" s="1">
        <v>42011</v>
      </c>
      <c r="C9">
        <v>76.099999999999994</v>
      </c>
    </row>
    <row r="10" spans="1:3">
      <c r="A10">
        <v>768</v>
      </c>
      <c r="B10" s="1">
        <v>42011</v>
      </c>
      <c r="C10">
        <v>76.099999999999994</v>
      </c>
    </row>
    <row r="11" spans="1:3">
      <c r="A11">
        <v>780</v>
      </c>
      <c r="B11" s="1">
        <v>42011</v>
      </c>
      <c r="C11">
        <v>76.099999999999994</v>
      </c>
    </row>
    <row r="12" spans="1:3">
      <c r="A12">
        <v>792</v>
      </c>
      <c r="B12" s="1">
        <v>42011</v>
      </c>
      <c r="C12">
        <v>76.2</v>
      </c>
    </row>
    <row r="13" spans="1:3">
      <c r="A13">
        <v>804</v>
      </c>
      <c r="B13" s="1">
        <v>42011</v>
      </c>
      <c r="C13">
        <v>76.2</v>
      </c>
    </row>
    <row r="14" spans="1:3">
      <c r="A14">
        <v>816</v>
      </c>
      <c r="B14" s="1">
        <v>42011</v>
      </c>
      <c r="C14">
        <v>76.3</v>
      </c>
    </row>
    <row r="15" spans="1:3">
      <c r="A15">
        <v>828</v>
      </c>
      <c r="B15" s="1">
        <v>42011</v>
      </c>
      <c r="C15">
        <v>76.3</v>
      </c>
    </row>
    <row r="16" spans="1:3">
      <c r="A16">
        <v>840</v>
      </c>
      <c r="B16" s="1">
        <v>42011</v>
      </c>
      <c r="C16">
        <v>76.400000000000006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C16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4.875" bestFit="1" customWidth="1"/>
  </cols>
  <sheetData>
    <row r="1" spans="1:3">
      <c r="A1">
        <v>660</v>
      </c>
      <c r="B1" s="1">
        <v>42011</v>
      </c>
      <c r="C1">
        <v>76</v>
      </c>
    </row>
    <row r="2" spans="1:3">
      <c r="A2">
        <v>672</v>
      </c>
      <c r="B2" s="1">
        <v>42011</v>
      </c>
      <c r="C2">
        <v>76</v>
      </c>
    </row>
    <row r="3" spans="1:3">
      <c r="A3">
        <v>684</v>
      </c>
      <c r="B3" s="1">
        <v>42011</v>
      </c>
      <c r="C3">
        <v>76</v>
      </c>
    </row>
    <row r="4" spans="1:3">
      <c r="A4">
        <v>696</v>
      </c>
      <c r="B4" s="1">
        <v>42011</v>
      </c>
      <c r="C4">
        <v>76</v>
      </c>
    </row>
    <row r="5" spans="1:3">
      <c r="A5">
        <v>708</v>
      </c>
      <c r="B5" s="1">
        <v>42011</v>
      </c>
      <c r="C5">
        <v>76.099999999999994</v>
      </c>
    </row>
    <row r="6" spans="1:3">
      <c r="A6">
        <v>720</v>
      </c>
      <c r="B6" s="1">
        <v>42011</v>
      </c>
      <c r="C6">
        <v>76.099999999999994</v>
      </c>
    </row>
    <row r="7" spans="1:3">
      <c r="A7">
        <v>732</v>
      </c>
      <c r="B7" s="1">
        <v>42011</v>
      </c>
      <c r="C7">
        <v>76.099999999999994</v>
      </c>
    </row>
    <row r="8" spans="1:3">
      <c r="A8">
        <v>744</v>
      </c>
      <c r="B8" s="1">
        <v>42011</v>
      </c>
      <c r="C8">
        <v>76.2</v>
      </c>
    </row>
    <row r="9" spans="1:3">
      <c r="A9">
        <v>756</v>
      </c>
      <c r="B9" s="1">
        <v>42011</v>
      </c>
      <c r="C9">
        <v>76.2</v>
      </c>
    </row>
    <row r="10" spans="1:3">
      <c r="A10">
        <v>768</v>
      </c>
      <c r="B10" s="1">
        <v>42011</v>
      </c>
      <c r="C10">
        <v>76.2</v>
      </c>
    </row>
    <row r="11" spans="1:3">
      <c r="A11">
        <v>780</v>
      </c>
      <c r="B11" s="1">
        <v>42011</v>
      </c>
      <c r="C11">
        <v>76.2</v>
      </c>
    </row>
    <row r="12" spans="1:3">
      <c r="A12">
        <v>792</v>
      </c>
      <c r="B12" s="1">
        <v>42011</v>
      </c>
      <c r="C12">
        <v>76.3</v>
      </c>
    </row>
    <row r="13" spans="1:3">
      <c r="A13">
        <v>804</v>
      </c>
      <c r="B13" s="1">
        <v>42011</v>
      </c>
      <c r="C13">
        <v>76.3</v>
      </c>
    </row>
    <row r="14" spans="1:3">
      <c r="A14">
        <v>816</v>
      </c>
      <c r="B14" s="1">
        <v>42011</v>
      </c>
      <c r="C14">
        <v>76.400000000000006</v>
      </c>
    </row>
    <row r="15" spans="1:3">
      <c r="A15">
        <v>828</v>
      </c>
      <c r="B15" s="1">
        <v>42011</v>
      </c>
      <c r="C15">
        <v>76.400000000000006</v>
      </c>
    </row>
    <row r="16" spans="1:3">
      <c r="A16">
        <v>840</v>
      </c>
      <c r="B16" s="1">
        <v>42011</v>
      </c>
      <c r="C16">
        <v>76.5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C16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4.875" bestFit="1" customWidth="1"/>
  </cols>
  <sheetData>
    <row r="1" spans="1:3">
      <c r="A1">
        <v>660</v>
      </c>
      <c r="B1" s="1">
        <v>42011</v>
      </c>
      <c r="C1">
        <v>84.3</v>
      </c>
    </row>
    <row r="2" spans="1:3">
      <c r="A2">
        <v>672</v>
      </c>
      <c r="B2" s="1">
        <v>42011</v>
      </c>
      <c r="C2">
        <v>84.5</v>
      </c>
    </row>
    <row r="3" spans="1:3">
      <c r="A3">
        <v>684</v>
      </c>
      <c r="B3" s="1">
        <v>42011</v>
      </c>
      <c r="C3">
        <v>84.7</v>
      </c>
    </row>
    <row r="4" spans="1:3">
      <c r="A4">
        <v>696</v>
      </c>
      <c r="B4" s="1">
        <v>42011</v>
      </c>
      <c r="C4">
        <v>84.9</v>
      </c>
    </row>
    <row r="5" spans="1:3">
      <c r="A5">
        <v>708</v>
      </c>
      <c r="B5" s="1">
        <v>42011</v>
      </c>
      <c r="C5">
        <v>85.1</v>
      </c>
    </row>
    <row r="6" spans="1:3">
      <c r="A6">
        <v>720</v>
      </c>
      <c r="B6" s="1">
        <v>42011</v>
      </c>
      <c r="C6">
        <v>85.3</v>
      </c>
    </row>
    <row r="7" spans="1:3">
      <c r="A7">
        <v>732</v>
      </c>
      <c r="B7" s="1">
        <v>42011</v>
      </c>
      <c r="C7">
        <v>85.6</v>
      </c>
    </row>
    <row r="8" spans="1:3">
      <c r="A8">
        <v>744</v>
      </c>
      <c r="B8" s="1">
        <v>42011</v>
      </c>
      <c r="C8">
        <v>85.8</v>
      </c>
    </row>
    <row r="9" spans="1:3">
      <c r="A9">
        <v>756</v>
      </c>
      <c r="B9" s="1">
        <v>42011</v>
      </c>
      <c r="C9">
        <v>86.1</v>
      </c>
    </row>
    <row r="10" spans="1:3">
      <c r="A10">
        <v>768</v>
      </c>
      <c r="B10" s="1">
        <v>42011</v>
      </c>
      <c r="C10">
        <v>86.4</v>
      </c>
    </row>
    <row r="11" spans="1:3">
      <c r="A11">
        <v>780</v>
      </c>
      <c r="B11" s="1">
        <v>42011</v>
      </c>
      <c r="C11">
        <v>86.8</v>
      </c>
    </row>
    <row r="12" spans="1:3">
      <c r="A12">
        <v>792</v>
      </c>
      <c r="B12" s="1">
        <v>42011</v>
      </c>
      <c r="C12">
        <v>87.1</v>
      </c>
    </row>
    <row r="13" spans="1:3">
      <c r="A13">
        <v>804</v>
      </c>
      <c r="B13" s="1">
        <v>42011</v>
      </c>
      <c r="C13">
        <v>87.5</v>
      </c>
    </row>
    <row r="14" spans="1:3">
      <c r="A14">
        <v>816</v>
      </c>
      <c r="B14" s="1">
        <v>42011</v>
      </c>
      <c r="C14">
        <v>87.9</v>
      </c>
    </row>
    <row r="15" spans="1:3">
      <c r="A15">
        <v>828</v>
      </c>
      <c r="B15" s="1">
        <v>42011</v>
      </c>
      <c r="C15">
        <v>88.3</v>
      </c>
    </row>
    <row r="16" spans="1:3">
      <c r="A16">
        <v>840</v>
      </c>
      <c r="B16" s="1">
        <v>42011</v>
      </c>
      <c r="C16">
        <v>88.8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C16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4.875" bestFit="1" customWidth="1"/>
  </cols>
  <sheetData>
    <row r="1" spans="1:3">
      <c r="A1">
        <v>660</v>
      </c>
      <c r="B1" s="1">
        <v>42011</v>
      </c>
      <c r="C1">
        <v>85.1</v>
      </c>
    </row>
    <row r="2" spans="1:3">
      <c r="A2">
        <v>672</v>
      </c>
      <c r="B2" s="1">
        <v>42011</v>
      </c>
      <c r="C2">
        <v>85.3</v>
      </c>
    </row>
    <row r="3" spans="1:3">
      <c r="A3">
        <v>684</v>
      </c>
      <c r="B3" s="1">
        <v>42011</v>
      </c>
      <c r="C3">
        <v>85.5</v>
      </c>
    </row>
    <row r="4" spans="1:3">
      <c r="A4">
        <v>696</v>
      </c>
      <c r="B4" s="1">
        <v>42011</v>
      </c>
      <c r="C4">
        <v>85.8</v>
      </c>
    </row>
    <row r="5" spans="1:3">
      <c r="A5">
        <v>708</v>
      </c>
      <c r="B5" s="1">
        <v>42011</v>
      </c>
      <c r="C5">
        <v>86</v>
      </c>
    </row>
    <row r="6" spans="1:3">
      <c r="A6">
        <v>720</v>
      </c>
      <c r="B6" s="1">
        <v>42011</v>
      </c>
      <c r="C6">
        <v>86.3</v>
      </c>
    </row>
    <row r="7" spans="1:3">
      <c r="A7">
        <v>732</v>
      </c>
      <c r="B7" s="1">
        <v>42011</v>
      </c>
      <c r="C7">
        <v>86.5</v>
      </c>
    </row>
    <row r="8" spans="1:3">
      <c r="A8">
        <v>744</v>
      </c>
      <c r="B8" s="1">
        <v>42011</v>
      </c>
      <c r="C8">
        <v>86.8</v>
      </c>
    </row>
    <row r="9" spans="1:3">
      <c r="A9">
        <v>756</v>
      </c>
      <c r="B9" s="1">
        <v>42011</v>
      </c>
      <c r="C9">
        <v>87.1</v>
      </c>
    </row>
    <row r="10" spans="1:3">
      <c r="A10">
        <v>768</v>
      </c>
      <c r="B10" s="1">
        <v>42011</v>
      </c>
      <c r="C10">
        <v>87.5</v>
      </c>
    </row>
    <row r="11" spans="1:3">
      <c r="A11">
        <v>780</v>
      </c>
      <c r="B11" s="1">
        <v>42011</v>
      </c>
      <c r="C11">
        <v>87.8</v>
      </c>
    </row>
    <row r="12" spans="1:3">
      <c r="A12">
        <v>792</v>
      </c>
      <c r="B12" s="1">
        <v>42011</v>
      </c>
      <c r="C12">
        <v>88.2</v>
      </c>
    </row>
    <row r="13" spans="1:3">
      <c r="A13">
        <v>804</v>
      </c>
      <c r="B13" s="1">
        <v>42011</v>
      </c>
      <c r="C13">
        <v>88.6</v>
      </c>
    </row>
    <row r="14" spans="1:3">
      <c r="A14">
        <v>816</v>
      </c>
      <c r="B14" s="1">
        <v>42011</v>
      </c>
      <c r="C14">
        <v>89</v>
      </c>
    </row>
    <row r="15" spans="1:3">
      <c r="A15">
        <v>828</v>
      </c>
      <c r="B15" s="1">
        <v>42011</v>
      </c>
      <c r="C15">
        <v>89.5</v>
      </c>
    </row>
    <row r="16" spans="1:3">
      <c r="A16">
        <v>840</v>
      </c>
      <c r="B16" s="1">
        <v>42011</v>
      </c>
      <c r="C16">
        <v>89.9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C16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4.875" bestFit="1" customWidth="1"/>
  </cols>
  <sheetData>
    <row r="1" spans="1:3">
      <c r="A1">
        <v>660</v>
      </c>
      <c r="B1" s="1">
        <v>42011</v>
      </c>
      <c r="C1">
        <v>86</v>
      </c>
    </row>
    <row r="2" spans="1:3">
      <c r="A2">
        <v>672</v>
      </c>
      <c r="B2" s="1">
        <v>42011</v>
      </c>
      <c r="C2">
        <v>86.2</v>
      </c>
    </row>
    <row r="3" spans="1:3">
      <c r="A3">
        <v>684</v>
      </c>
      <c r="B3" s="1">
        <v>42011</v>
      </c>
      <c r="C3">
        <v>86.4</v>
      </c>
    </row>
    <row r="4" spans="1:3">
      <c r="A4">
        <v>696</v>
      </c>
      <c r="B4" s="1">
        <v>42011</v>
      </c>
      <c r="C4">
        <v>86.6</v>
      </c>
    </row>
    <row r="5" spans="1:3">
      <c r="A5">
        <v>708</v>
      </c>
      <c r="B5" s="1">
        <v>42011</v>
      </c>
      <c r="C5">
        <v>86.9</v>
      </c>
    </row>
    <row r="6" spans="1:3">
      <c r="A6">
        <v>720</v>
      </c>
      <c r="B6" s="1">
        <v>42011</v>
      </c>
      <c r="C6">
        <v>87.2</v>
      </c>
    </row>
    <row r="7" spans="1:3">
      <c r="A7">
        <v>732</v>
      </c>
      <c r="B7" s="1">
        <v>42011</v>
      </c>
      <c r="C7">
        <v>87.5</v>
      </c>
    </row>
    <row r="8" spans="1:3">
      <c r="A8">
        <v>744</v>
      </c>
      <c r="B8" s="1">
        <v>42011</v>
      </c>
      <c r="C8">
        <v>87.8</v>
      </c>
    </row>
    <row r="9" spans="1:3">
      <c r="A9">
        <v>756</v>
      </c>
      <c r="B9" s="1">
        <v>42011</v>
      </c>
      <c r="C9">
        <v>88.1</v>
      </c>
    </row>
    <row r="10" spans="1:3">
      <c r="A10">
        <v>768</v>
      </c>
      <c r="B10" s="1">
        <v>42011</v>
      </c>
      <c r="C10">
        <v>88.5</v>
      </c>
    </row>
    <row r="11" spans="1:3">
      <c r="A11">
        <v>780</v>
      </c>
      <c r="B11" s="1">
        <v>42011</v>
      </c>
      <c r="C11">
        <v>88.8</v>
      </c>
    </row>
    <row r="12" spans="1:3">
      <c r="A12">
        <v>792</v>
      </c>
      <c r="B12" s="1">
        <v>42011</v>
      </c>
      <c r="C12">
        <v>89.2</v>
      </c>
    </row>
    <row r="13" spans="1:3">
      <c r="A13">
        <v>804</v>
      </c>
      <c r="B13" s="1">
        <v>42011</v>
      </c>
      <c r="C13">
        <v>89.6</v>
      </c>
    </row>
    <row r="14" spans="1:3">
      <c r="A14">
        <v>816</v>
      </c>
      <c r="B14" s="1">
        <v>42011</v>
      </c>
      <c r="C14">
        <v>90.1</v>
      </c>
    </row>
    <row r="15" spans="1:3">
      <c r="A15">
        <v>828</v>
      </c>
      <c r="B15" s="1">
        <v>42011</v>
      </c>
      <c r="C15">
        <v>90.6</v>
      </c>
    </row>
    <row r="16" spans="1:3">
      <c r="A16">
        <v>840</v>
      </c>
      <c r="B16" s="1">
        <v>42011</v>
      </c>
      <c r="C16">
        <v>91.1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C16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4.875" bestFit="1" customWidth="1"/>
  </cols>
  <sheetData>
    <row r="1" spans="1:3">
      <c r="A1">
        <v>660</v>
      </c>
      <c r="B1" s="1">
        <v>42011</v>
      </c>
      <c r="C1">
        <v>75.2</v>
      </c>
    </row>
    <row r="2" spans="1:3">
      <c r="A2">
        <v>672</v>
      </c>
      <c r="B2" s="1">
        <v>42011</v>
      </c>
      <c r="C2">
        <v>75.2</v>
      </c>
    </row>
    <row r="3" spans="1:3">
      <c r="A3">
        <v>684</v>
      </c>
      <c r="B3" s="1">
        <v>42011</v>
      </c>
      <c r="C3">
        <v>75.2</v>
      </c>
    </row>
    <row r="4" spans="1:3">
      <c r="A4">
        <v>696</v>
      </c>
      <c r="B4" s="1">
        <v>42011</v>
      </c>
      <c r="C4">
        <v>75.2</v>
      </c>
    </row>
    <row r="5" spans="1:3">
      <c r="A5">
        <v>708</v>
      </c>
      <c r="B5" s="1">
        <v>42011</v>
      </c>
      <c r="C5">
        <v>75.2</v>
      </c>
    </row>
    <row r="6" spans="1:3">
      <c r="A6">
        <v>720</v>
      </c>
      <c r="B6" s="1">
        <v>42011</v>
      </c>
      <c r="C6">
        <v>75.2</v>
      </c>
    </row>
    <row r="7" spans="1:3">
      <c r="A7">
        <v>732</v>
      </c>
      <c r="B7" s="1">
        <v>42011</v>
      </c>
      <c r="C7">
        <v>75.2</v>
      </c>
    </row>
    <row r="8" spans="1:3">
      <c r="A8">
        <v>744</v>
      </c>
      <c r="B8" s="1">
        <v>42011</v>
      </c>
      <c r="C8">
        <v>75.2</v>
      </c>
    </row>
    <row r="9" spans="1:3">
      <c r="A9">
        <v>756</v>
      </c>
      <c r="B9" s="1">
        <v>42011</v>
      </c>
      <c r="C9">
        <v>75.2</v>
      </c>
    </row>
    <row r="10" spans="1:3">
      <c r="A10">
        <v>768</v>
      </c>
      <c r="B10" s="1">
        <v>42011</v>
      </c>
      <c r="C10">
        <v>75.2</v>
      </c>
    </row>
    <row r="11" spans="1:3">
      <c r="A11">
        <v>780</v>
      </c>
      <c r="B11" s="1">
        <v>42011</v>
      </c>
      <c r="C11">
        <v>75.2</v>
      </c>
    </row>
    <row r="12" spans="1:3">
      <c r="A12">
        <v>792</v>
      </c>
      <c r="B12" s="1">
        <v>42011</v>
      </c>
      <c r="C12">
        <v>75.2</v>
      </c>
    </row>
    <row r="13" spans="1:3">
      <c r="A13">
        <v>804</v>
      </c>
      <c r="B13" s="1">
        <v>42011</v>
      </c>
      <c r="C13">
        <v>75.2</v>
      </c>
    </row>
    <row r="14" spans="1:3">
      <c r="A14">
        <v>816</v>
      </c>
      <c r="B14" s="1">
        <v>42011</v>
      </c>
      <c r="C14">
        <v>75.2</v>
      </c>
    </row>
    <row r="15" spans="1:3">
      <c r="A15">
        <v>828</v>
      </c>
      <c r="B15" s="1">
        <v>42011</v>
      </c>
      <c r="C15">
        <v>75.2</v>
      </c>
    </row>
    <row r="16" spans="1:3">
      <c r="A16">
        <v>840</v>
      </c>
      <c r="B16" s="1">
        <v>42011</v>
      </c>
      <c r="C16">
        <v>75.2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C16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4.875" bestFit="1" customWidth="1"/>
  </cols>
  <sheetData>
    <row r="1" spans="1:3">
      <c r="A1">
        <v>660</v>
      </c>
      <c r="B1" s="1">
        <v>42011</v>
      </c>
      <c r="C1">
        <v>77</v>
      </c>
    </row>
    <row r="2" spans="1:3">
      <c r="A2">
        <v>672</v>
      </c>
      <c r="B2" s="1">
        <v>42011</v>
      </c>
      <c r="C2">
        <v>77</v>
      </c>
    </row>
    <row r="3" spans="1:3">
      <c r="A3">
        <v>684</v>
      </c>
      <c r="B3" s="1">
        <v>42011</v>
      </c>
      <c r="C3">
        <v>77</v>
      </c>
    </row>
    <row r="4" spans="1:3">
      <c r="A4">
        <v>696</v>
      </c>
      <c r="B4" s="1">
        <v>42011</v>
      </c>
      <c r="C4">
        <v>77.099999999999994</v>
      </c>
    </row>
    <row r="5" spans="1:3">
      <c r="A5">
        <v>708</v>
      </c>
      <c r="B5" s="1">
        <v>42011</v>
      </c>
      <c r="C5">
        <v>77.099999999999994</v>
      </c>
    </row>
    <row r="6" spans="1:3">
      <c r="A6">
        <v>720</v>
      </c>
      <c r="B6" s="1">
        <v>42011</v>
      </c>
      <c r="C6">
        <v>77.2</v>
      </c>
    </row>
    <row r="7" spans="1:3">
      <c r="A7">
        <v>732</v>
      </c>
      <c r="B7" s="1">
        <v>42011</v>
      </c>
      <c r="C7">
        <v>77.2</v>
      </c>
    </row>
    <row r="8" spans="1:3">
      <c r="A8">
        <v>744</v>
      </c>
      <c r="B8" s="1">
        <v>42011</v>
      </c>
      <c r="C8">
        <v>77.3</v>
      </c>
    </row>
    <row r="9" spans="1:3">
      <c r="A9">
        <v>756</v>
      </c>
      <c r="B9" s="1">
        <v>42011</v>
      </c>
      <c r="C9">
        <v>77.3</v>
      </c>
    </row>
    <row r="10" spans="1:3">
      <c r="A10">
        <v>768</v>
      </c>
      <c r="B10" s="1">
        <v>42011</v>
      </c>
      <c r="C10">
        <v>77.400000000000006</v>
      </c>
    </row>
    <row r="11" spans="1:3">
      <c r="A11">
        <v>780</v>
      </c>
      <c r="B11" s="1">
        <v>42011</v>
      </c>
      <c r="C11">
        <v>77.5</v>
      </c>
    </row>
    <row r="12" spans="1:3">
      <c r="A12">
        <v>792</v>
      </c>
      <c r="B12" s="1">
        <v>42011</v>
      </c>
      <c r="C12">
        <v>77.599999999999994</v>
      </c>
    </row>
    <row r="13" spans="1:3">
      <c r="A13">
        <v>804</v>
      </c>
      <c r="B13" s="1">
        <v>42011</v>
      </c>
      <c r="C13">
        <v>77.599999999999994</v>
      </c>
    </row>
    <row r="14" spans="1:3">
      <c r="A14">
        <v>816</v>
      </c>
      <c r="B14" s="1">
        <v>42011</v>
      </c>
      <c r="C14">
        <v>77.7</v>
      </c>
    </row>
    <row r="15" spans="1:3">
      <c r="A15">
        <v>828</v>
      </c>
      <c r="B15" s="1">
        <v>42011</v>
      </c>
      <c r="C15">
        <v>77.8</v>
      </c>
    </row>
    <row r="16" spans="1:3">
      <c r="A16">
        <v>840</v>
      </c>
      <c r="B16" s="1">
        <v>42011</v>
      </c>
      <c r="C16">
        <v>77.900000000000006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C16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4.875" bestFit="1" customWidth="1"/>
  </cols>
  <sheetData>
    <row r="1" spans="1:3">
      <c r="A1">
        <v>660</v>
      </c>
      <c r="B1" s="1">
        <v>42011</v>
      </c>
      <c r="C1">
        <v>75.2</v>
      </c>
    </row>
    <row r="2" spans="1:3">
      <c r="A2">
        <v>672</v>
      </c>
      <c r="B2" s="1">
        <v>42011</v>
      </c>
      <c r="C2">
        <v>75.2</v>
      </c>
    </row>
    <row r="3" spans="1:3">
      <c r="A3">
        <v>684</v>
      </c>
      <c r="B3" s="1">
        <v>42011</v>
      </c>
      <c r="C3">
        <v>75.3</v>
      </c>
    </row>
    <row r="4" spans="1:3">
      <c r="A4">
        <v>696</v>
      </c>
      <c r="B4" s="1">
        <v>42011</v>
      </c>
      <c r="C4">
        <v>75.3</v>
      </c>
    </row>
    <row r="5" spans="1:3">
      <c r="A5">
        <v>708</v>
      </c>
      <c r="B5" s="1">
        <v>42011</v>
      </c>
      <c r="C5">
        <v>75.3</v>
      </c>
    </row>
    <row r="6" spans="1:3">
      <c r="A6">
        <v>720</v>
      </c>
      <c r="B6" s="1">
        <v>42011</v>
      </c>
      <c r="C6">
        <v>75.3</v>
      </c>
    </row>
    <row r="7" spans="1:3">
      <c r="A7">
        <v>732</v>
      </c>
      <c r="B7" s="1">
        <v>42011</v>
      </c>
      <c r="C7">
        <v>75.3</v>
      </c>
    </row>
    <row r="8" spans="1:3">
      <c r="A8">
        <v>744</v>
      </c>
      <c r="B8" s="1">
        <v>42011</v>
      </c>
      <c r="C8">
        <v>75.3</v>
      </c>
    </row>
    <row r="9" spans="1:3">
      <c r="A9">
        <v>756</v>
      </c>
      <c r="B9" s="1">
        <v>42011</v>
      </c>
      <c r="C9">
        <v>75.3</v>
      </c>
    </row>
    <row r="10" spans="1:3">
      <c r="A10">
        <v>768</v>
      </c>
      <c r="B10" s="1">
        <v>42011</v>
      </c>
      <c r="C10">
        <v>75.3</v>
      </c>
    </row>
    <row r="11" spans="1:3">
      <c r="A11">
        <v>780</v>
      </c>
      <c r="B11" s="1">
        <v>42011</v>
      </c>
      <c r="C11">
        <v>75.3</v>
      </c>
    </row>
    <row r="12" spans="1:3">
      <c r="A12">
        <v>792</v>
      </c>
      <c r="B12" s="1">
        <v>42011</v>
      </c>
      <c r="C12">
        <v>75.3</v>
      </c>
    </row>
    <row r="13" spans="1:3">
      <c r="A13">
        <v>804</v>
      </c>
      <c r="B13" s="1">
        <v>42011</v>
      </c>
      <c r="C13">
        <v>75.3</v>
      </c>
    </row>
    <row r="14" spans="1:3">
      <c r="A14">
        <v>816</v>
      </c>
      <c r="B14" s="1">
        <v>42011</v>
      </c>
      <c r="C14">
        <v>75.3</v>
      </c>
    </row>
    <row r="15" spans="1:3">
      <c r="A15">
        <v>828</v>
      </c>
      <c r="B15" s="1">
        <v>42011</v>
      </c>
      <c r="C15">
        <v>75.400000000000006</v>
      </c>
    </row>
    <row r="16" spans="1:3">
      <c r="A16">
        <v>840</v>
      </c>
      <c r="B16" s="1">
        <v>42011</v>
      </c>
      <c r="C16">
        <v>75.400000000000006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C16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4.875" bestFit="1" customWidth="1"/>
  </cols>
  <sheetData>
    <row r="1" spans="1:3">
      <c r="A1">
        <v>660</v>
      </c>
      <c r="B1" s="1">
        <v>42011</v>
      </c>
      <c r="C1">
        <v>77.900000000000006</v>
      </c>
    </row>
    <row r="2" spans="1:3">
      <c r="A2">
        <v>672</v>
      </c>
      <c r="B2" s="1">
        <v>42011</v>
      </c>
      <c r="C2">
        <v>78</v>
      </c>
    </row>
    <row r="3" spans="1:3">
      <c r="A3">
        <v>684</v>
      </c>
      <c r="B3" s="1">
        <v>42011</v>
      </c>
      <c r="C3">
        <v>78</v>
      </c>
    </row>
    <row r="4" spans="1:3">
      <c r="A4">
        <v>696</v>
      </c>
      <c r="B4" s="1">
        <v>42011</v>
      </c>
      <c r="C4">
        <v>78.099999999999994</v>
      </c>
    </row>
    <row r="5" spans="1:3">
      <c r="A5">
        <v>708</v>
      </c>
      <c r="B5" s="1">
        <v>42011</v>
      </c>
      <c r="C5">
        <v>78.2</v>
      </c>
    </row>
    <row r="6" spans="1:3">
      <c r="A6">
        <v>720</v>
      </c>
      <c r="B6" s="1">
        <v>42011</v>
      </c>
      <c r="C6">
        <v>78.3</v>
      </c>
    </row>
    <row r="7" spans="1:3">
      <c r="A7">
        <v>732</v>
      </c>
      <c r="B7" s="1">
        <v>42011</v>
      </c>
      <c r="C7">
        <v>78.3</v>
      </c>
    </row>
    <row r="8" spans="1:3">
      <c r="A8">
        <v>744</v>
      </c>
      <c r="B8" s="1">
        <v>42011</v>
      </c>
      <c r="C8">
        <v>78.400000000000006</v>
      </c>
    </row>
    <row r="9" spans="1:3">
      <c r="A9">
        <v>756</v>
      </c>
      <c r="B9" s="1">
        <v>42011</v>
      </c>
      <c r="C9">
        <v>78.5</v>
      </c>
    </row>
    <row r="10" spans="1:3">
      <c r="A10">
        <v>768</v>
      </c>
      <c r="B10" s="1">
        <v>42011</v>
      </c>
      <c r="C10">
        <v>78.599999999999994</v>
      </c>
    </row>
    <row r="11" spans="1:3">
      <c r="A11">
        <v>780</v>
      </c>
      <c r="B11" s="1">
        <v>42011</v>
      </c>
      <c r="C11">
        <v>78.7</v>
      </c>
    </row>
    <row r="12" spans="1:3">
      <c r="A12">
        <v>792</v>
      </c>
      <c r="B12" s="1">
        <v>42011</v>
      </c>
      <c r="C12">
        <v>78.8</v>
      </c>
    </row>
    <row r="13" spans="1:3">
      <c r="A13">
        <v>804</v>
      </c>
      <c r="B13" s="1">
        <v>42011</v>
      </c>
      <c r="C13">
        <v>79</v>
      </c>
    </row>
    <row r="14" spans="1:3">
      <c r="A14">
        <v>816</v>
      </c>
      <c r="B14" s="1">
        <v>42011</v>
      </c>
      <c r="C14">
        <v>79.099999999999994</v>
      </c>
    </row>
    <row r="15" spans="1:3">
      <c r="A15">
        <v>828</v>
      </c>
      <c r="B15" s="1">
        <v>42011</v>
      </c>
      <c r="C15">
        <v>79.2</v>
      </c>
    </row>
    <row r="16" spans="1:3">
      <c r="A16">
        <v>840</v>
      </c>
      <c r="B16" s="1">
        <v>42011</v>
      </c>
      <c r="C16">
        <v>79.400000000000006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C16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4.875" bestFit="1" customWidth="1"/>
  </cols>
  <sheetData>
    <row r="1" spans="1:3">
      <c r="A1">
        <v>660</v>
      </c>
      <c r="B1" s="1">
        <v>42011</v>
      </c>
      <c r="C1">
        <v>75.3</v>
      </c>
    </row>
    <row r="2" spans="1:3">
      <c r="A2">
        <v>672</v>
      </c>
      <c r="B2" s="1">
        <v>42011</v>
      </c>
      <c r="C2">
        <v>75.3</v>
      </c>
    </row>
    <row r="3" spans="1:3">
      <c r="A3">
        <v>684</v>
      </c>
      <c r="B3" s="1">
        <v>42011</v>
      </c>
      <c r="C3">
        <v>75.3</v>
      </c>
    </row>
    <row r="4" spans="1:3">
      <c r="A4">
        <v>696</v>
      </c>
      <c r="B4" s="1">
        <v>42011</v>
      </c>
      <c r="C4">
        <v>75.3</v>
      </c>
    </row>
    <row r="5" spans="1:3">
      <c r="A5">
        <v>708</v>
      </c>
      <c r="B5" s="1">
        <v>42011</v>
      </c>
      <c r="C5">
        <v>75.400000000000006</v>
      </c>
    </row>
    <row r="6" spans="1:3">
      <c r="A6">
        <v>720</v>
      </c>
      <c r="B6" s="1">
        <v>42011</v>
      </c>
      <c r="C6">
        <v>75.400000000000006</v>
      </c>
    </row>
    <row r="7" spans="1:3">
      <c r="A7">
        <v>732</v>
      </c>
      <c r="B7" s="1">
        <v>42011</v>
      </c>
      <c r="C7">
        <v>75.400000000000006</v>
      </c>
    </row>
    <row r="8" spans="1:3">
      <c r="A8">
        <v>744</v>
      </c>
      <c r="B8" s="1">
        <v>42011</v>
      </c>
      <c r="C8">
        <v>75.400000000000006</v>
      </c>
    </row>
    <row r="9" spans="1:3">
      <c r="A9">
        <v>756</v>
      </c>
      <c r="B9" s="1">
        <v>42011</v>
      </c>
      <c r="C9">
        <v>75.400000000000006</v>
      </c>
    </row>
    <row r="10" spans="1:3">
      <c r="A10">
        <v>768</v>
      </c>
      <c r="B10" s="1">
        <v>42011</v>
      </c>
      <c r="C10">
        <v>75.400000000000006</v>
      </c>
    </row>
    <row r="11" spans="1:3">
      <c r="A11">
        <v>780</v>
      </c>
      <c r="B11" s="1">
        <v>42011</v>
      </c>
      <c r="C11">
        <v>75.400000000000006</v>
      </c>
    </row>
    <row r="12" spans="1:3">
      <c r="A12">
        <v>792</v>
      </c>
      <c r="B12" s="1">
        <v>42011</v>
      </c>
      <c r="C12">
        <v>75.400000000000006</v>
      </c>
    </row>
    <row r="13" spans="1:3">
      <c r="A13">
        <v>804</v>
      </c>
      <c r="B13" s="1">
        <v>42011</v>
      </c>
      <c r="C13">
        <v>75.400000000000006</v>
      </c>
    </row>
    <row r="14" spans="1:3">
      <c r="A14">
        <v>816</v>
      </c>
      <c r="B14" s="1">
        <v>42011</v>
      </c>
      <c r="C14">
        <v>75.5</v>
      </c>
    </row>
    <row r="15" spans="1:3">
      <c r="A15">
        <v>828</v>
      </c>
      <c r="B15" s="1">
        <v>42011</v>
      </c>
      <c r="C15">
        <v>75.5</v>
      </c>
    </row>
    <row r="16" spans="1:3">
      <c r="A16">
        <v>840</v>
      </c>
      <c r="B16" s="1">
        <v>42011</v>
      </c>
      <c r="C16">
        <v>75.5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C16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4.875" bestFit="1" customWidth="1"/>
  </cols>
  <sheetData>
    <row r="1" spans="1:3">
      <c r="A1">
        <v>660</v>
      </c>
      <c r="B1" s="1">
        <v>42011</v>
      </c>
      <c r="C1">
        <v>78.900000000000006</v>
      </c>
    </row>
    <row r="2" spans="1:3">
      <c r="A2">
        <v>672</v>
      </c>
      <c r="B2" s="1">
        <v>42011</v>
      </c>
      <c r="C2">
        <v>79</v>
      </c>
    </row>
    <row r="3" spans="1:3">
      <c r="A3">
        <v>684</v>
      </c>
      <c r="B3" s="1">
        <v>42011</v>
      </c>
      <c r="C3">
        <v>79</v>
      </c>
    </row>
    <row r="4" spans="1:3">
      <c r="A4">
        <v>696</v>
      </c>
      <c r="B4" s="1">
        <v>42011</v>
      </c>
      <c r="C4">
        <v>79.099999999999994</v>
      </c>
    </row>
    <row r="5" spans="1:3">
      <c r="A5">
        <v>708</v>
      </c>
      <c r="B5" s="1">
        <v>42011</v>
      </c>
      <c r="C5">
        <v>79.2</v>
      </c>
    </row>
    <row r="6" spans="1:3">
      <c r="A6">
        <v>720</v>
      </c>
      <c r="B6" s="1">
        <v>42011</v>
      </c>
      <c r="C6">
        <v>79.3</v>
      </c>
    </row>
    <row r="7" spans="1:3">
      <c r="A7">
        <v>732</v>
      </c>
      <c r="B7" s="1">
        <v>42011</v>
      </c>
      <c r="C7">
        <v>79.400000000000006</v>
      </c>
    </row>
    <row r="8" spans="1:3">
      <c r="A8">
        <v>744</v>
      </c>
      <c r="B8" s="1">
        <v>42011</v>
      </c>
      <c r="C8">
        <v>79.5</v>
      </c>
    </row>
    <row r="9" spans="1:3">
      <c r="A9">
        <v>756</v>
      </c>
      <c r="B9" s="1">
        <v>42011</v>
      </c>
      <c r="C9">
        <v>79.599999999999994</v>
      </c>
    </row>
    <row r="10" spans="1:3">
      <c r="A10">
        <v>768</v>
      </c>
      <c r="B10" s="1">
        <v>42011</v>
      </c>
      <c r="C10">
        <v>79.8</v>
      </c>
    </row>
    <row r="11" spans="1:3">
      <c r="A11">
        <v>780</v>
      </c>
      <c r="B11" s="1">
        <v>42011</v>
      </c>
      <c r="C11">
        <v>79.900000000000006</v>
      </c>
    </row>
    <row r="12" spans="1:3">
      <c r="A12">
        <v>792</v>
      </c>
      <c r="B12" s="1">
        <v>42011</v>
      </c>
      <c r="C12">
        <v>80.099999999999994</v>
      </c>
    </row>
    <row r="13" spans="1:3">
      <c r="A13">
        <v>804</v>
      </c>
      <c r="B13" s="1">
        <v>42011</v>
      </c>
      <c r="C13">
        <v>80.2</v>
      </c>
    </row>
    <row r="14" spans="1:3">
      <c r="A14">
        <v>816</v>
      </c>
      <c r="B14" s="1">
        <v>42011</v>
      </c>
      <c r="C14">
        <v>80.400000000000006</v>
      </c>
    </row>
    <row r="15" spans="1:3">
      <c r="A15">
        <v>828</v>
      </c>
      <c r="B15" s="1">
        <v>42011</v>
      </c>
      <c r="C15">
        <v>80.599999999999994</v>
      </c>
    </row>
    <row r="16" spans="1:3">
      <c r="A16">
        <v>840</v>
      </c>
      <c r="B16" s="1">
        <v>42011</v>
      </c>
      <c r="C16">
        <v>80.8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C16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4.875" bestFit="1" customWidth="1"/>
  </cols>
  <sheetData>
    <row r="1" spans="1:3">
      <c r="A1">
        <v>660</v>
      </c>
      <c r="B1" s="1">
        <v>42011</v>
      </c>
      <c r="C1">
        <v>75.400000000000006</v>
      </c>
    </row>
    <row r="2" spans="1:3">
      <c r="A2">
        <v>672</v>
      </c>
      <c r="B2" s="1">
        <v>42011</v>
      </c>
      <c r="C2">
        <v>75.400000000000006</v>
      </c>
    </row>
    <row r="3" spans="1:3">
      <c r="A3">
        <v>684</v>
      </c>
      <c r="B3" s="1">
        <v>42011</v>
      </c>
      <c r="C3">
        <v>75.400000000000006</v>
      </c>
    </row>
    <row r="4" spans="1:3">
      <c r="A4">
        <v>696</v>
      </c>
      <c r="B4" s="1">
        <v>42011</v>
      </c>
      <c r="C4">
        <v>75.400000000000006</v>
      </c>
    </row>
    <row r="5" spans="1:3">
      <c r="A5">
        <v>708</v>
      </c>
      <c r="B5" s="1">
        <v>42011</v>
      </c>
      <c r="C5">
        <v>75.400000000000006</v>
      </c>
    </row>
    <row r="6" spans="1:3">
      <c r="A6">
        <v>720</v>
      </c>
      <c r="B6" s="1">
        <v>42011</v>
      </c>
      <c r="C6">
        <v>75.5</v>
      </c>
    </row>
    <row r="7" spans="1:3">
      <c r="A7">
        <v>732</v>
      </c>
      <c r="B7" s="1">
        <v>42011</v>
      </c>
      <c r="C7">
        <v>75.5</v>
      </c>
    </row>
    <row r="8" spans="1:3">
      <c r="A8">
        <v>744</v>
      </c>
      <c r="B8" s="1">
        <v>42011</v>
      </c>
      <c r="C8">
        <v>75.5</v>
      </c>
    </row>
    <row r="9" spans="1:3">
      <c r="A9">
        <v>756</v>
      </c>
      <c r="B9" s="1">
        <v>42011</v>
      </c>
      <c r="C9">
        <v>75.5</v>
      </c>
    </row>
    <row r="10" spans="1:3">
      <c r="A10">
        <v>768</v>
      </c>
      <c r="B10" s="1">
        <v>42011</v>
      </c>
      <c r="C10">
        <v>75.5</v>
      </c>
    </row>
    <row r="11" spans="1:3">
      <c r="A11">
        <v>780</v>
      </c>
      <c r="B11" s="1">
        <v>42011</v>
      </c>
      <c r="C11">
        <v>75.5</v>
      </c>
    </row>
    <row r="12" spans="1:3">
      <c r="A12">
        <v>792</v>
      </c>
      <c r="B12" s="1">
        <v>42011</v>
      </c>
      <c r="C12">
        <v>75.5</v>
      </c>
    </row>
    <row r="13" spans="1:3">
      <c r="A13">
        <v>804</v>
      </c>
      <c r="B13" s="1">
        <v>42011</v>
      </c>
      <c r="C13">
        <v>75.5</v>
      </c>
    </row>
    <row r="14" spans="1:3">
      <c r="A14">
        <v>816</v>
      </c>
      <c r="B14" s="1">
        <v>42011</v>
      </c>
      <c r="C14">
        <v>75.599999999999994</v>
      </c>
    </row>
    <row r="15" spans="1:3">
      <c r="A15">
        <v>828</v>
      </c>
      <c r="B15" s="1">
        <v>42011</v>
      </c>
      <c r="C15">
        <v>75.599999999999994</v>
      </c>
    </row>
    <row r="16" spans="1:3">
      <c r="A16">
        <v>840</v>
      </c>
      <c r="B16" s="1">
        <v>42011</v>
      </c>
      <c r="C16">
        <v>75.599999999999994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C16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4.875" bestFit="1" customWidth="1"/>
  </cols>
  <sheetData>
    <row r="1" spans="1:3">
      <c r="A1">
        <v>660</v>
      </c>
      <c r="B1" s="1">
        <v>42011</v>
      </c>
      <c r="C1">
        <v>75.5</v>
      </c>
    </row>
    <row r="2" spans="1:3">
      <c r="A2">
        <v>672</v>
      </c>
      <c r="B2" s="1">
        <v>42011</v>
      </c>
      <c r="C2">
        <v>75.5</v>
      </c>
    </row>
    <row r="3" spans="1:3">
      <c r="A3">
        <v>684</v>
      </c>
      <c r="B3" s="1">
        <v>42011</v>
      </c>
      <c r="C3">
        <v>75.5</v>
      </c>
    </row>
    <row r="4" spans="1:3">
      <c r="A4">
        <v>696</v>
      </c>
      <c r="B4" s="1">
        <v>42011</v>
      </c>
      <c r="C4">
        <v>75.5</v>
      </c>
    </row>
    <row r="5" spans="1:3">
      <c r="A5">
        <v>708</v>
      </c>
      <c r="B5" s="1">
        <v>42011</v>
      </c>
      <c r="C5">
        <v>75.5</v>
      </c>
    </row>
    <row r="6" spans="1:3">
      <c r="A6">
        <v>720</v>
      </c>
      <c r="B6" s="1">
        <v>42011</v>
      </c>
      <c r="C6">
        <v>75.5</v>
      </c>
    </row>
    <row r="7" spans="1:3">
      <c r="A7">
        <v>732</v>
      </c>
      <c r="B7" s="1">
        <v>42011</v>
      </c>
      <c r="C7">
        <v>75.599999999999994</v>
      </c>
    </row>
    <row r="8" spans="1:3">
      <c r="A8">
        <v>744</v>
      </c>
      <c r="B8" s="1">
        <v>42011</v>
      </c>
      <c r="C8">
        <v>75.599999999999994</v>
      </c>
    </row>
    <row r="9" spans="1:3">
      <c r="A9">
        <v>756</v>
      </c>
      <c r="B9" s="1">
        <v>42011</v>
      </c>
      <c r="C9">
        <v>75.599999999999994</v>
      </c>
    </row>
    <row r="10" spans="1:3">
      <c r="A10">
        <v>768</v>
      </c>
      <c r="B10" s="1">
        <v>42011</v>
      </c>
      <c r="C10">
        <v>75.599999999999994</v>
      </c>
    </row>
    <row r="11" spans="1:3">
      <c r="A11">
        <v>780</v>
      </c>
      <c r="B11" s="1">
        <v>42011</v>
      </c>
      <c r="C11">
        <v>75.599999999999994</v>
      </c>
    </row>
    <row r="12" spans="1:3">
      <c r="A12">
        <v>792</v>
      </c>
      <c r="B12" s="1">
        <v>42011</v>
      </c>
      <c r="C12">
        <v>75.599999999999994</v>
      </c>
    </row>
    <row r="13" spans="1:3">
      <c r="A13">
        <v>804</v>
      </c>
      <c r="B13" s="1">
        <v>42011</v>
      </c>
      <c r="C13">
        <v>75.7</v>
      </c>
    </row>
    <row r="14" spans="1:3">
      <c r="A14">
        <v>816</v>
      </c>
      <c r="B14" s="1">
        <v>42011</v>
      </c>
      <c r="C14">
        <v>75.7</v>
      </c>
    </row>
    <row r="15" spans="1:3">
      <c r="A15">
        <v>828</v>
      </c>
      <c r="B15" s="1">
        <v>42011</v>
      </c>
      <c r="C15">
        <v>75.7</v>
      </c>
    </row>
    <row r="16" spans="1:3">
      <c r="A16">
        <v>840</v>
      </c>
      <c r="B16" s="1">
        <v>42011</v>
      </c>
      <c r="C16">
        <v>75.7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C16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4.875" bestFit="1" customWidth="1"/>
  </cols>
  <sheetData>
    <row r="1" spans="1:3">
      <c r="A1">
        <v>660</v>
      </c>
      <c r="B1" s="1">
        <v>42011</v>
      </c>
      <c r="C1">
        <v>79.8</v>
      </c>
    </row>
    <row r="2" spans="1:3">
      <c r="A2">
        <v>672</v>
      </c>
      <c r="B2" s="1">
        <v>42011</v>
      </c>
      <c r="C2">
        <v>79.900000000000006</v>
      </c>
    </row>
    <row r="3" spans="1:3">
      <c r="A3">
        <v>684</v>
      </c>
      <c r="B3" s="1">
        <v>42011</v>
      </c>
      <c r="C3">
        <v>80</v>
      </c>
    </row>
    <row r="4" spans="1:3">
      <c r="A4">
        <v>696</v>
      </c>
      <c r="B4" s="1">
        <v>42011</v>
      </c>
      <c r="C4">
        <v>80.099999999999994</v>
      </c>
    </row>
    <row r="5" spans="1:3">
      <c r="A5">
        <v>708</v>
      </c>
      <c r="B5" s="1">
        <v>42011</v>
      </c>
      <c r="C5">
        <v>80.2</v>
      </c>
    </row>
    <row r="6" spans="1:3">
      <c r="A6">
        <v>720</v>
      </c>
      <c r="B6" s="1">
        <v>42011</v>
      </c>
      <c r="C6">
        <v>80.400000000000006</v>
      </c>
    </row>
    <row r="7" spans="1:3">
      <c r="A7">
        <v>732</v>
      </c>
      <c r="B7" s="1">
        <v>42011</v>
      </c>
      <c r="C7">
        <v>80.5</v>
      </c>
    </row>
    <row r="8" spans="1:3">
      <c r="A8">
        <v>744</v>
      </c>
      <c r="B8" s="1">
        <v>42011</v>
      </c>
      <c r="C8">
        <v>80.599999999999994</v>
      </c>
    </row>
    <row r="9" spans="1:3">
      <c r="A9">
        <v>756</v>
      </c>
      <c r="B9" s="1">
        <v>42011</v>
      </c>
      <c r="C9">
        <v>80.8</v>
      </c>
    </row>
    <row r="10" spans="1:3">
      <c r="A10">
        <v>768</v>
      </c>
      <c r="B10" s="1">
        <v>42011</v>
      </c>
      <c r="C10">
        <v>80.900000000000006</v>
      </c>
    </row>
    <row r="11" spans="1:3">
      <c r="A11">
        <v>780</v>
      </c>
      <c r="B11" s="1">
        <v>42011</v>
      </c>
      <c r="C11">
        <v>81.099999999999994</v>
      </c>
    </row>
    <row r="12" spans="1:3">
      <c r="A12">
        <v>792</v>
      </c>
      <c r="B12" s="1">
        <v>42011</v>
      </c>
      <c r="C12">
        <v>81.3</v>
      </c>
    </row>
    <row r="13" spans="1:3">
      <c r="A13">
        <v>804</v>
      </c>
      <c r="B13" s="1">
        <v>42011</v>
      </c>
      <c r="C13">
        <v>81.5</v>
      </c>
    </row>
    <row r="14" spans="1:3">
      <c r="A14">
        <v>816</v>
      </c>
      <c r="B14" s="1">
        <v>42011</v>
      </c>
      <c r="C14">
        <v>81.7</v>
      </c>
    </row>
    <row r="15" spans="1:3">
      <c r="A15">
        <v>828</v>
      </c>
      <c r="B15" s="1">
        <v>42011</v>
      </c>
      <c r="C15">
        <v>82</v>
      </c>
    </row>
    <row r="16" spans="1:3">
      <c r="A16">
        <v>840</v>
      </c>
      <c r="B16" s="1">
        <v>42011</v>
      </c>
      <c r="C16">
        <v>82.2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C16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4.875" bestFit="1" customWidth="1"/>
  </cols>
  <sheetData>
    <row r="1" spans="1:3">
      <c r="A1">
        <v>660</v>
      </c>
      <c r="B1" s="1">
        <v>42011</v>
      </c>
      <c r="C1">
        <v>75.599999999999994</v>
      </c>
    </row>
    <row r="2" spans="1:3">
      <c r="A2">
        <v>672</v>
      </c>
      <c r="B2" s="1">
        <v>42011</v>
      </c>
      <c r="C2">
        <v>75.599999999999994</v>
      </c>
    </row>
    <row r="3" spans="1:3">
      <c r="A3">
        <v>684</v>
      </c>
      <c r="B3" s="1">
        <v>42011</v>
      </c>
      <c r="C3">
        <v>75.599999999999994</v>
      </c>
    </row>
    <row r="4" spans="1:3">
      <c r="A4">
        <v>696</v>
      </c>
      <c r="B4" s="1">
        <v>42011</v>
      </c>
      <c r="C4">
        <v>75.599999999999994</v>
      </c>
    </row>
    <row r="5" spans="1:3">
      <c r="A5">
        <v>708</v>
      </c>
      <c r="B5" s="1">
        <v>42011</v>
      </c>
      <c r="C5">
        <v>75.599999999999994</v>
      </c>
    </row>
    <row r="6" spans="1:3">
      <c r="A6">
        <v>720</v>
      </c>
      <c r="B6" s="1">
        <v>42011</v>
      </c>
      <c r="C6">
        <v>75.599999999999994</v>
      </c>
    </row>
    <row r="7" spans="1:3">
      <c r="A7">
        <v>732</v>
      </c>
      <c r="B7" s="1">
        <v>42011</v>
      </c>
      <c r="C7">
        <v>75.7</v>
      </c>
    </row>
    <row r="8" spans="1:3">
      <c r="A8">
        <v>744</v>
      </c>
      <c r="B8" s="1">
        <v>42011</v>
      </c>
      <c r="C8">
        <v>75.7</v>
      </c>
    </row>
    <row r="9" spans="1:3">
      <c r="A9">
        <v>756</v>
      </c>
      <c r="B9" s="1">
        <v>42011</v>
      </c>
      <c r="C9">
        <v>75.7</v>
      </c>
    </row>
    <row r="10" spans="1:3">
      <c r="A10">
        <v>768</v>
      </c>
      <c r="B10" s="1">
        <v>42011</v>
      </c>
      <c r="C10">
        <v>75.7</v>
      </c>
    </row>
    <row r="11" spans="1:3">
      <c r="A11">
        <v>780</v>
      </c>
      <c r="B11" s="1">
        <v>42011</v>
      </c>
      <c r="C11">
        <v>75.7</v>
      </c>
    </row>
    <row r="12" spans="1:3">
      <c r="A12">
        <v>792</v>
      </c>
      <c r="B12" s="1">
        <v>42011</v>
      </c>
      <c r="C12">
        <v>75.7</v>
      </c>
    </row>
    <row r="13" spans="1:3">
      <c r="A13">
        <v>804</v>
      </c>
      <c r="B13" s="1">
        <v>42011</v>
      </c>
      <c r="C13">
        <v>75.8</v>
      </c>
    </row>
    <row r="14" spans="1:3">
      <c r="A14">
        <v>816</v>
      </c>
      <c r="B14" s="1">
        <v>42011</v>
      </c>
      <c r="C14">
        <v>75.8</v>
      </c>
    </row>
    <row r="15" spans="1:3">
      <c r="A15">
        <v>828</v>
      </c>
      <c r="B15" s="1">
        <v>42011</v>
      </c>
      <c r="C15">
        <v>75.8</v>
      </c>
    </row>
    <row r="16" spans="1:3">
      <c r="A16">
        <v>840</v>
      </c>
      <c r="B16" s="1">
        <v>42011</v>
      </c>
      <c r="C16">
        <v>75.900000000000006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C16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4.875" bestFit="1" customWidth="1"/>
  </cols>
  <sheetData>
    <row r="1" spans="1:3">
      <c r="A1">
        <v>660</v>
      </c>
      <c r="B1" s="1">
        <v>42011</v>
      </c>
      <c r="C1">
        <v>80.7</v>
      </c>
    </row>
    <row r="2" spans="1:3">
      <c r="A2">
        <v>672</v>
      </c>
      <c r="B2" s="1">
        <v>42011</v>
      </c>
      <c r="C2">
        <v>80.900000000000006</v>
      </c>
    </row>
    <row r="3" spans="1:3">
      <c r="A3">
        <v>684</v>
      </c>
      <c r="B3" s="1">
        <v>42011</v>
      </c>
      <c r="C3">
        <v>81</v>
      </c>
    </row>
    <row r="4" spans="1:3">
      <c r="A4">
        <v>696</v>
      </c>
      <c r="B4" s="1">
        <v>42011</v>
      </c>
      <c r="C4">
        <v>81.099999999999994</v>
      </c>
    </row>
    <row r="5" spans="1:3">
      <c r="A5">
        <v>708</v>
      </c>
      <c r="B5" s="1">
        <v>42011</v>
      </c>
      <c r="C5">
        <v>81.2</v>
      </c>
    </row>
    <row r="6" spans="1:3">
      <c r="A6">
        <v>720</v>
      </c>
      <c r="B6" s="1">
        <v>42011</v>
      </c>
      <c r="C6">
        <v>81.400000000000006</v>
      </c>
    </row>
    <row r="7" spans="1:3">
      <c r="A7">
        <v>732</v>
      </c>
      <c r="B7" s="1">
        <v>42011</v>
      </c>
      <c r="C7">
        <v>81.5</v>
      </c>
    </row>
    <row r="8" spans="1:3">
      <c r="A8">
        <v>744</v>
      </c>
      <c r="B8" s="1">
        <v>42011</v>
      </c>
      <c r="C8">
        <v>81.7</v>
      </c>
    </row>
    <row r="9" spans="1:3">
      <c r="A9">
        <v>756</v>
      </c>
      <c r="B9" s="1">
        <v>42011</v>
      </c>
      <c r="C9">
        <v>81.900000000000006</v>
      </c>
    </row>
    <row r="10" spans="1:3">
      <c r="A10">
        <v>768</v>
      </c>
      <c r="B10" s="1">
        <v>42011</v>
      </c>
      <c r="C10">
        <v>82.1</v>
      </c>
    </row>
    <row r="11" spans="1:3">
      <c r="A11">
        <v>780</v>
      </c>
      <c r="B11" s="1">
        <v>42011</v>
      </c>
      <c r="C11">
        <v>82.3</v>
      </c>
    </row>
    <row r="12" spans="1:3">
      <c r="A12">
        <v>792</v>
      </c>
      <c r="B12" s="1">
        <v>42011</v>
      </c>
      <c r="C12">
        <v>82.5</v>
      </c>
    </row>
    <row r="13" spans="1:3">
      <c r="A13">
        <v>804</v>
      </c>
      <c r="B13" s="1">
        <v>42011</v>
      </c>
      <c r="C13">
        <v>82.8</v>
      </c>
    </row>
    <row r="14" spans="1:3">
      <c r="A14">
        <v>816</v>
      </c>
      <c r="B14" s="1">
        <v>42011</v>
      </c>
      <c r="C14">
        <v>83</v>
      </c>
    </row>
    <row r="15" spans="1:3">
      <c r="A15">
        <v>828</v>
      </c>
      <c r="B15" s="1">
        <v>42011</v>
      </c>
      <c r="C15">
        <v>83.3</v>
      </c>
    </row>
    <row r="16" spans="1:3">
      <c r="A16">
        <v>840</v>
      </c>
      <c r="B16" s="1">
        <v>42011</v>
      </c>
      <c r="C16">
        <v>83.6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C16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4.875" bestFit="1" customWidth="1"/>
  </cols>
  <sheetData>
    <row r="1" spans="1:3">
      <c r="A1">
        <v>660</v>
      </c>
      <c r="B1" s="1">
        <v>42011</v>
      </c>
      <c r="C1">
        <v>75.7</v>
      </c>
    </row>
    <row r="2" spans="1:3">
      <c r="A2">
        <v>672</v>
      </c>
      <c r="B2" s="1">
        <v>42011</v>
      </c>
      <c r="C2">
        <v>75.7</v>
      </c>
    </row>
    <row r="3" spans="1:3">
      <c r="A3">
        <v>684</v>
      </c>
      <c r="B3" s="1">
        <v>42011</v>
      </c>
      <c r="C3">
        <v>75.7</v>
      </c>
    </row>
    <row r="4" spans="1:3">
      <c r="A4">
        <v>696</v>
      </c>
      <c r="B4" s="1">
        <v>42011</v>
      </c>
      <c r="C4">
        <v>75.7</v>
      </c>
    </row>
    <row r="5" spans="1:3">
      <c r="A5">
        <v>708</v>
      </c>
      <c r="B5" s="1">
        <v>42011</v>
      </c>
      <c r="C5">
        <v>75.7</v>
      </c>
    </row>
    <row r="6" spans="1:3">
      <c r="A6">
        <v>720</v>
      </c>
      <c r="B6" s="1">
        <v>42011</v>
      </c>
      <c r="C6">
        <v>75.7</v>
      </c>
    </row>
    <row r="7" spans="1:3">
      <c r="A7">
        <v>732</v>
      </c>
      <c r="B7" s="1">
        <v>42011</v>
      </c>
      <c r="C7">
        <v>75.7</v>
      </c>
    </row>
    <row r="8" spans="1:3">
      <c r="A8">
        <v>744</v>
      </c>
      <c r="B8" s="1">
        <v>42011</v>
      </c>
      <c r="C8">
        <v>75.8</v>
      </c>
    </row>
    <row r="9" spans="1:3">
      <c r="A9">
        <v>756</v>
      </c>
      <c r="B9" s="1">
        <v>42011</v>
      </c>
      <c r="C9">
        <v>75.8</v>
      </c>
    </row>
    <row r="10" spans="1:3">
      <c r="A10">
        <v>768</v>
      </c>
      <c r="B10" s="1">
        <v>42011</v>
      </c>
      <c r="C10">
        <v>75.8</v>
      </c>
    </row>
    <row r="11" spans="1:3">
      <c r="A11">
        <v>780</v>
      </c>
      <c r="B11" s="1">
        <v>42011</v>
      </c>
      <c r="C11">
        <v>75.8</v>
      </c>
    </row>
    <row r="12" spans="1:3">
      <c r="A12">
        <v>792</v>
      </c>
      <c r="B12" s="1">
        <v>42011</v>
      </c>
      <c r="C12">
        <v>75.900000000000006</v>
      </c>
    </row>
    <row r="13" spans="1:3">
      <c r="A13">
        <v>804</v>
      </c>
      <c r="B13" s="1">
        <v>42011</v>
      </c>
      <c r="C13">
        <v>75.900000000000006</v>
      </c>
    </row>
    <row r="14" spans="1:3">
      <c r="A14">
        <v>816</v>
      </c>
      <c r="B14" s="1">
        <v>42011</v>
      </c>
      <c r="C14">
        <v>75.900000000000006</v>
      </c>
    </row>
    <row r="15" spans="1:3">
      <c r="A15">
        <v>828</v>
      </c>
      <c r="B15" s="1">
        <v>42011</v>
      </c>
      <c r="C15">
        <v>75.900000000000006</v>
      </c>
    </row>
    <row r="16" spans="1:3">
      <c r="A16">
        <v>840</v>
      </c>
      <c r="B16" s="1">
        <v>42011</v>
      </c>
      <c r="C16">
        <v>76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C16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4.875" bestFit="1" customWidth="1"/>
  </cols>
  <sheetData>
    <row r="1" spans="1:3">
      <c r="A1">
        <v>660</v>
      </c>
      <c r="B1" s="1">
        <v>42011</v>
      </c>
      <c r="C1">
        <v>81.599999999999994</v>
      </c>
    </row>
    <row r="2" spans="1:3">
      <c r="A2">
        <v>672</v>
      </c>
      <c r="B2" s="1">
        <v>42011</v>
      </c>
      <c r="C2">
        <v>81.8</v>
      </c>
    </row>
    <row r="3" spans="1:3">
      <c r="A3">
        <v>684</v>
      </c>
      <c r="B3" s="1">
        <v>42011</v>
      </c>
      <c r="C3">
        <v>81.900000000000006</v>
      </c>
    </row>
    <row r="4" spans="1:3">
      <c r="A4">
        <v>696</v>
      </c>
      <c r="B4" s="1">
        <v>42011</v>
      </c>
      <c r="C4">
        <v>82.1</v>
      </c>
    </row>
    <row r="5" spans="1:3">
      <c r="A5">
        <v>708</v>
      </c>
      <c r="B5" s="1">
        <v>42011</v>
      </c>
      <c r="C5">
        <v>82.2</v>
      </c>
    </row>
    <row r="6" spans="1:3">
      <c r="A6">
        <v>720</v>
      </c>
      <c r="B6" s="1">
        <v>42011</v>
      </c>
      <c r="C6">
        <v>82.4</v>
      </c>
    </row>
    <row r="7" spans="1:3">
      <c r="A7">
        <v>732</v>
      </c>
      <c r="B7" s="1">
        <v>42011</v>
      </c>
      <c r="C7">
        <v>82.6</v>
      </c>
    </row>
    <row r="8" spans="1:3">
      <c r="A8">
        <v>744</v>
      </c>
      <c r="B8" s="1">
        <v>42011</v>
      </c>
      <c r="C8">
        <v>82.8</v>
      </c>
    </row>
    <row r="9" spans="1:3">
      <c r="A9">
        <v>756</v>
      </c>
      <c r="B9" s="1">
        <v>42011</v>
      </c>
      <c r="C9">
        <v>83</v>
      </c>
    </row>
    <row r="10" spans="1:3">
      <c r="A10">
        <v>768</v>
      </c>
      <c r="B10" s="1">
        <v>42011</v>
      </c>
      <c r="C10">
        <v>83.2</v>
      </c>
    </row>
    <row r="11" spans="1:3">
      <c r="A11">
        <v>780</v>
      </c>
      <c r="B11" s="1">
        <v>42011</v>
      </c>
      <c r="C11">
        <v>83.4</v>
      </c>
    </row>
    <row r="12" spans="1:3">
      <c r="A12">
        <v>792</v>
      </c>
      <c r="B12" s="1">
        <v>42011</v>
      </c>
      <c r="C12">
        <v>83.7</v>
      </c>
    </row>
    <row r="13" spans="1:3">
      <c r="A13">
        <v>804</v>
      </c>
      <c r="B13" s="1">
        <v>42011</v>
      </c>
      <c r="C13">
        <v>84</v>
      </c>
    </row>
    <row r="14" spans="1:3">
      <c r="A14">
        <v>816</v>
      </c>
      <c r="B14" s="1">
        <v>42011</v>
      </c>
      <c r="C14">
        <v>84.3</v>
      </c>
    </row>
    <row r="15" spans="1:3">
      <c r="A15">
        <v>828</v>
      </c>
      <c r="B15" s="1">
        <v>42011</v>
      </c>
      <c r="C15">
        <v>84.6</v>
      </c>
    </row>
    <row r="16" spans="1:3">
      <c r="A16">
        <v>840</v>
      </c>
      <c r="B16" s="1">
        <v>42011</v>
      </c>
      <c r="C16">
        <v>85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C16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4.875" bestFit="1" customWidth="1"/>
  </cols>
  <sheetData>
    <row r="1" spans="1:3">
      <c r="A1">
        <v>660</v>
      </c>
      <c r="B1" s="1">
        <v>42011</v>
      </c>
      <c r="C1">
        <v>75.7</v>
      </c>
    </row>
    <row r="2" spans="1:3">
      <c r="A2">
        <v>672</v>
      </c>
      <c r="B2" s="1">
        <v>42011</v>
      </c>
      <c r="C2">
        <v>75.8</v>
      </c>
    </row>
    <row r="3" spans="1:3">
      <c r="A3">
        <v>684</v>
      </c>
      <c r="B3" s="1">
        <v>42011</v>
      </c>
      <c r="C3">
        <v>75.8</v>
      </c>
    </row>
    <row r="4" spans="1:3">
      <c r="A4">
        <v>696</v>
      </c>
      <c r="B4" s="1">
        <v>42011</v>
      </c>
      <c r="C4">
        <v>75.8</v>
      </c>
    </row>
    <row r="5" spans="1:3">
      <c r="A5">
        <v>708</v>
      </c>
      <c r="B5" s="1">
        <v>42011</v>
      </c>
      <c r="C5">
        <v>75.8</v>
      </c>
    </row>
    <row r="6" spans="1:3">
      <c r="A6">
        <v>720</v>
      </c>
      <c r="B6" s="1">
        <v>42011</v>
      </c>
      <c r="C6">
        <v>75.8</v>
      </c>
    </row>
    <row r="7" spans="1:3">
      <c r="A7">
        <v>732</v>
      </c>
      <c r="B7" s="1">
        <v>42011</v>
      </c>
      <c r="C7">
        <v>75.8</v>
      </c>
    </row>
    <row r="8" spans="1:3">
      <c r="A8">
        <v>744</v>
      </c>
      <c r="B8" s="1">
        <v>42011</v>
      </c>
      <c r="C8">
        <v>75.900000000000006</v>
      </c>
    </row>
    <row r="9" spans="1:3">
      <c r="A9">
        <v>756</v>
      </c>
      <c r="B9" s="1">
        <v>42011</v>
      </c>
      <c r="C9">
        <v>75.900000000000006</v>
      </c>
    </row>
    <row r="10" spans="1:3">
      <c r="A10">
        <v>768</v>
      </c>
      <c r="B10" s="1">
        <v>42011</v>
      </c>
      <c r="C10">
        <v>75.900000000000006</v>
      </c>
    </row>
    <row r="11" spans="1:3">
      <c r="A11">
        <v>780</v>
      </c>
      <c r="B11" s="1">
        <v>42011</v>
      </c>
      <c r="C11">
        <v>75.900000000000006</v>
      </c>
    </row>
    <row r="12" spans="1:3">
      <c r="A12">
        <v>792</v>
      </c>
      <c r="B12" s="1">
        <v>42011</v>
      </c>
      <c r="C12">
        <v>76</v>
      </c>
    </row>
    <row r="13" spans="1:3">
      <c r="A13">
        <v>804</v>
      </c>
      <c r="B13" s="1">
        <v>42011</v>
      </c>
      <c r="C13">
        <v>76</v>
      </c>
    </row>
    <row r="14" spans="1:3">
      <c r="A14">
        <v>816</v>
      </c>
      <c r="B14" s="1">
        <v>42011</v>
      </c>
      <c r="C14">
        <v>76</v>
      </c>
    </row>
    <row r="15" spans="1:3">
      <c r="A15">
        <v>828</v>
      </c>
      <c r="B15" s="1">
        <v>42011</v>
      </c>
      <c r="C15">
        <v>76.099999999999994</v>
      </c>
    </row>
    <row r="16" spans="1:3">
      <c r="A16">
        <v>840</v>
      </c>
      <c r="B16" s="1">
        <v>42011</v>
      </c>
      <c r="C16">
        <v>76.099999999999994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C16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4.875" bestFit="1" customWidth="1"/>
  </cols>
  <sheetData>
    <row r="1" spans="1:3">
      <c r="A1">
        <v>660</v>
      </c>
      <c r="B1" s="1">
        <v>42011</v>
      </c>
      <c r="C1">
        <v>82.5</v>
      </c>
    </row>
    <row r="2" spans="1:3">
      <c r="A2">
        <v>672</v>
      </c>
      <c r="B2" s="1">
        <v>42011</v>
      </c>
      <c r="C2">
        <v>82.7</v>
      </c>
    </row>
    <row r="3" spans="1:3">
      <c r="A3">
        <v>684</v>
      </c>
      <c r="B3" s="1">
        <v>42011</v>
      </c>
      <c r="C3">
        <v>82.8</v>
      </c>
    </row>
    <row r="4" spans="1:3">
      <c r="A4">
        <v>696</v>
      </c>
      <c r="B4" s="1">
        <v>42011</v>
      </c>
      <c r="C4">
        <v>83</v>
      </c>
    </row>
    <row r="5" spans="1:3">
      <c r="A5">
        <v>708</v>
      </c>
      <c r="B5" s="1">
        <v>42011</v>
      </c>
      <c r="C5">
        <v>83.2</v>
      </c>
    </row>
    <row r="6" spans="1:3">
      <c r="A6">
        <v>720</v>
      </c>
      <c r="B6" s="1">
        <v>42011</v>
      </c>
      <c r="C6">
        <v>83.4</v>
      </c>
    </row>
    <row r="7" spans="1:3">
      <c r="A7">
        <v>732</v>
      </c>
      <c r="B7" s="1">
        <v>42011</v>
      </c>
      <c r="C7">
        <v>83.6</v>
      </c>
    </row>
    <row r="8" spans="1:3">
      <c r="A8">
        <v>744</v>
      </c>
      <c r="B8" s="1">
        <v>42011</v>
      </c>
      <c r="C8">
        <v>83.8</v>
      </c>
    </row>
    <row r="9" spans="1:3">
      <c r="A9">
        <v>756</v>
      </c>
      <c r="B9" s="1">
        <v>42011</v>
      </c>
      <c r="C9">
        <v>84</v>
      </c>
    </row>
    <row r="10" spans="1:3">
      <c r="A10">
        <v>768</v>
      </c>
      <c r="B10" s="1">
        <v>42011</v>
      </c>
      <c r="C10">
        <v>84.3</v>
      </c>
    </row>
    <row r="11" spans="1:3">
      <c r="A11">
        <v>780</v>
      </c>
      <c r="B11" s="1">
        <v>42011</v>
      </c>
      <c r="C11">
        <v>84.6</v>
      </c>
    </row>
    <row r="12" spans="1:3">
      <c r="A12">
        <v>792</v>
      </c>
      <c r="B12" s="1">
        <v>42011</v>
      </c>
      <c r="C12">
        <v>84.9</v>
      </c>
    </row>
    <row r="13" spans="1:3">
      <c r="A13">
        <v>804</v>
      </c>
      <c r="B13" s="1">
        <v>42011</v>
      </c>
      <c r="C13">
        <v>85.2</v>
      </c>
    </row>
    <row r="14" spans="1:3">
      <c r="A14">
        <v>816</v>
      </c>
      <c r="B14" s="1">
        <v>42011</v>
      </c>
      <c r="C14">
        <v>85.5</v>
      </c>
    </row>
    <row r="15" spans="1:3">
      <c r="A15">
        <v>828</v>
      </c>
      <c r="B15" s="1">
        <v>42011</v>
      </c>
      <c r="C15">
        <v>85.9</v>
      </c>
    </row>
    <row r="16" spans="1:3">
      <c r="A16">
        <v>840</v>
      </c>
      <c r="B16" s="1">
        <v>42011</v>
      </c>
      <c r="C16">
        <v>86.3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C63"/>
  <sheetViews>
    <sheetView workbookViewId="0"/>
  </sheetViews>
  <sheetFormatPr defaultRowHeight="15.75"/>
  <cols>
    <col min="1" max="1" width="4.875" bestFit="1" customWidth="1"/>
    <col min="2" max="2" width="10.125" bestFit="1" customWidth="1"/>
    <col min="3" max="3" width="2.875" bestFit="1" customWidth="1"/>
  </cols>
  <sheetData>
    <row r="1" spans="1:3">
      <c r="A1">
        <v>0</v>
      </c>
      <c r="B1" s="1">
        <v>1</v>
      </c>
      <c r="C1">
        <v>38</v>
      </c>
    </row>
    <row r="2" spans="1:3">
      <c r="A2">
        <v>4</v>
      </c>
      <c r="B2" s="1">
        <v>1</v>
      </c>
      <c r="C2">
        <v>38</v>
      </c>
    </row>
    <row r="3" spans="1:3">
      <c r="A3">
        <v>5</v>
      </c>
      <c r="B3" s="1">
        <v>1</v>
      </c>
      <c r="C3">
        <v>38</v>
      </c>
    </row>
    <row r="4" spans="1:3">
      <c r="A4">
        <v>26</v>
      </c>
      <c r="B4" s="1">
        <v>1</v>
      </c>
      <c r="C4">
        <v>38</v>
      </c>
    </row>
    <row r="5" spans="1:3">
      <c r="A5">
        <v>48</v>
      </c>
      <c r="B5" s="1">
        <v>1</v>
      </c>
      <c r="C5">
        <v>38</v>
      </c>
    </row>
    <row r="6" spans="1:3">
      <c r="A6">
        <v>52</v>
      </c>
      <c r="B6" s="1">
        <v>1</v>
      </c>
      <c r="C6">
        <v>38</v>
      </c>
    </row>
    <row r="7" spans="1:3">
      <c r="A7">
        <v>63</v>
      </c>
      <c r="B7" s="1">
        <v>1</v>
      </c>
      <c r="C7">
        <v>40</v>
      </c>
    </row>
    <row r="8" spans="1:3">
      <c r="A8">
        <v>124</v>
      </c>
      <c r="B8" s="1">
        <v>1</v>
      </c>
      <c r="C8">
        <v>38</v>
      </c>
    </row>
    <row r="9" spans="1:3">
      <c r="A9">
        <v>148</v>
      </c>
      <c r="B9" s="1">
        <v>1</v>
      </c>
      <c r="C9">
        <v>38</v>
      </c>
    </row>
    <row r="10" spans="1:3">
      <c r="A10">
        <v>243</v>
      </c>
      <c r="B10" s="1">
        <v>1</v>
      </c>
      <c r="C10">
        <v>38</v>
      </c>
    </row>
    <row r="11" spans="1:3">
      <c r="A11">
        <v>301</v>
      </c>
      <c r="B11" s="1">
        <v>1</v>
      </c>
      <c r="C11">
        <v>38</v>
      </c>
    </row>
    <row r="12" spans="1:3">
      <c r="A12">
        <v>316</v>
      </c>
      <c r="B12" s="1">
        <v>1</v>
      </c>
      <c r="C12">
        <v>38</v>
      </c>
    </row>
    <row r="13" spans="1:3">
      <c r="A13">
        <v>331</v>
      </c>
      <c r="B13" s="1">
        <v>1</v>
      </c>
      <c r="C13">
        <v>38</v>
      </c>
    </row>
    <row r="14" spans="1:3">
      <c r="A14">
        <v>410</v>
      </c>
      <c r="B14" s="1">
        <v>1</v>
      </c>
      <c r="C14">
        <v>38</v>
      </c>
    </row>
    <row r="15" spans="1:3">
      <c r="A15">
        <v>509</v>
      </c>
      <c r="B15" s="1">
        <v>1</v>
      </c>
      <c r="C15">
        <v>38</v>
      </c>
    </row>
    <row r="16" spans="1:3">
      <c r="A16">
        <v>518</v>
      </c>
      <c r="B16" s="1">
        <v>1</v>
      </c>
      <c r="C16">
        <v>37</v>
      </c>
    </row>
    <row r="17" spans="1:3">
      <c r="A17">
        <v>549</v>
      </c>
      <c r="B17" s="1">
        <v>1</v>
      </c>
      <c r="C17">
        <v>36</v>
      </c>
    </row>
    <row r="18" spans="1:3">
      <c r="A18">
        <v>557</v>
      </c>
      <c r="B18" s="1">
        <v>1</v>
      </c>
      <c r="C18">
        <v>40</v>
      </c>
    </row>
    <row r="19" spans="1:3">
      <c r="A19">
        <v>592</v>
      </c>
      <c r="B19" s="1">
        <v>1</v>
      </c>
      <c r="C19">
        <v>36</v>
      </c>
    </row>
    <row r="20" spans="1:3">
      <c r="A20">
        <v>609</v>
      </c>
      <c r="B20" s="1">
        <v>1</v>
      </c>
      <c r="C20">
        <v>38</v>
      </c>
    </row>
    <row r="21" spans="1:3">
      <c r="A21">
        <v>623</v>
      </c>
      <c r="B21" s="1">
        <v>1</v>
      </c>
      <c r="C21">
        <v>38</v>
      </c>
    </row>
    <row r="22" spans="1:3">
      <c r="A22">
        <v>683</v>
      </c>
      <c r="B22" s="1">
        <v>1</v>
      </c>
      <c r="C22">
        <v>38</v>
      </c>
    </row>
    <row r="23" spans="1:3">
      <c r="A23">
        <v>727</v>
      </c>
      <c r="B23" s="1">
        <v>1</v>
      </c>
      <c r="C23">
        <v>38</v>
      </c>
    </row>
    <row r="24" spans="1:3">
      <c r="A24">
        <v>730</v>
      </c>
      <c r="B24" s="1">
        <v>1</v>
      </c>
      <c r="C24">
        <v>38</v>
      </c>
    </row>
    <row r="25" spans="1:3">
      <c r="A25">
        <v>791</v>
      </c>
      <c r="B25" s="1">
        <v>1</v>
      </c>
      <c r="C25">
        <v>38</v>
      </c>
    </row>
    <row r="26" spans="1:3">
      <c r="A26">
        <v>827</v>
      </c>
      <c r="B26" s="1">
        <v>1</v>
      </c>
      <c r="C26">
        <v>38</v>
      </c>
    </row>
    <row r="27" spans="1:3">
      <c r="A27">
        <v>838</v>
      </c>
      <c r="B27" s="1">
        <v>1</v>
      </c>
      <c r="C27">
        <v>38</v>
      </c>
    </row>
    <row r="28" spans="1:3">
      <c r="A28">
        <v>884</v>
      </c>
      <c r="B28" s="1">
        <v>1</v>
      </c>
      <c r="C28">
        <v>38</v>
      </c>
    </row>
    <row r="29" spans="1:3">
      <c r="A29">
        <v>945</v>
      </c>
      <c r="B29" s="1">
        <v>1</v>
      </c>
      <c r="C29">
        <v>38</v>
      </c>
    </row>
    <row r="30" spans="1:3">
      <c r="A30">
        <v>946</v>
      </c>
      <c r="B30" s="1">
        <v>1</v>
      </c>
      <c r="C30">
        <v>38</v>
      </c>
    </row>
    <row r="31" spans="1:3">
      <c r="A31">
        <v>1261</v>
      </c>
      <c r="B31" s="1">
        <v>1</v>
      </c>
      <c r="C31">
        <v>38</v>
      </c>
    </row>
    <row r="32" spans="1:3">
      <c r="A32">
        <v>1308</v>
      </c>
      <c r="B32" s="1">
        <v>1</v>
      </c>
      <c r="C32">
        <v>38</v>
      </c>
    </row>
    <row r="33" spans="1:3">
      <c r="A33">
        <v>1363</v>
      </c>
      <c r="B33" s="1">
        <v>1</v>
      </c>
      <c r="C33">
        <v>38</v>
      </c>
    </row>
    <row r="34" spans="1:3">
      <c r="A34">
        <v>1420</v>
      </c>
      <c r="B34" s="1">
        <v>1</v>
      </c>
      <c r="C34">
        <v>36</v>
      </c>
    </row>
    <row r="35" spans="1:3">
      <c r="A35">
        <v>1458</v>
      </c>
      <c r="B35" s="1">
        <v>1</v>
      </c>
      <c r="C35">
        <v>38</v>
      </c>
    </row>
    <row r="36" spans="1:3">
      <c r="A36">
        <v>1459</v>
      </c>
      <c r="B36" s="1">
        <v>1</v>
      </c>
      <c r="C36">
        <v>38</v>
      </c>
    </row>
    <row r="37" spans="1:3">
      <c r="A37">
        <v>1460</v>
      </c>
      <c r="B37" s="1">
        <v>1</v>
      </c>
      <c r="C37">
        <v>38</v>
      </c>
    </row>
    <row r="38" spans="1:3">
      <c r="A38">
        <v>1461</v>
      </c>
      <c r="B38" s="1">
        <v>1</v>
      </c>
      <c r="C38">
        <v>38</v>
      </c>
    </row>
    <row r="39" spans="1:3">
      <c r="A39">
        <v>1462</v>
      </c>
      <c r="B39" s="1">
        <v>1</v>
      </c>
      <c r="C39">
        <v>38</v>
      </c>
    </row>
    <row r="40" spans="1:3">
      <c r="A40">
        <v>1463</v>
      </c>
      <c r="B40" s="1">
        <v>1</v>
      </c>
      <c r="C40">
        <v>38</v>
      </c>
    </row>
    <row r="41" spans="1:3">
      <c r="A41">
        <v>1464</v>
      </c>
      <c r="B41" s="1">
        <v>1</v>
      </c>
      <c r="C41">
        <v>38</v>
      </c>
    </row>
    <row r="42" spans="1:3">
      <c r="A42">
        <v>1629</v>
      </c>
      <c r="B42" s="1">
        <v>1</v>
      </c>
      <c r="C42">
        <v>38</v>
      </c>
    </row>
    <row r="43" spans="1:3">
      <c r="A43">
        <v>1639</v>
      </c>
      <c r="B43" s="1">
        <v>1</v>
      </c>
      <c r="C43">
        <v>38</v>
      </c>
    </row>
    <row r="44" spans="1:3">
      <c r="A44">
        <v>1644</v>
      </c>
      <c r="B44" s="1">
        <v>1</v>
      </c>
      <c r="C44">
        <v>37</v>
      </c>
    </row>
    <row r="45" spans="1:3">
      <c r="A45">
        <v>1651</v>
      </c>
      <c r="B45" s="1">
        <v>1</v>
      </c>
      <c r="C45">
        <v>38</v>
      </c>
    </row>
    <row r="46" spans="1:3">
      <c r="A46">
        <v>1668</v>
      </c>
      <c r="B46" s="1">
        <v>1</v>
      </c>
      <c r="C46">
        <v>38</v>
      </c>
    </row>
    <row r="47" spans="1:3">
      <c r="A47">
        <v>1669</v>
      </c>
      <c r="B47" s="1">
        <v>1</v>
      </c>
      <c r="C47">
        <v>40</v>
      </c>
    </row>
    <row r="48" spans="1:3">
      <c r="A48">
        <v>1755</v>
      </c>
      <c r="B48" s="1">
        <v>1</v>
      </c>
      <c r="C48">
        <v>40</v>
      </c>
    </row>
    <row r="49" spans="1:3">
      <c r="A49">
        <v>1869</v>
      </c>
      <c r="B49" s="1">
        <v>1</v>
      </c>
      <c r="C49">
        <v>38</v>
      </c>
    </row>
    <row r="50" spans="1:3">
      <c r="A50">
        <v>1991</v>
      </c>
      <c r="B50" s="1">
        <v>1</v>
      </c>
      <c r="C50">
        <v>38</v>
      </c>
    </row>
    <row r="51" spans="1:3">
      <c r="A51">
        <v>2044</v>
      </c>
      <c r="B51" s="1">
        <v>1</v>
      </c>
      <c r="C51">
        <v>38</v>
      </c>
    </row>
    <row r="52" spans="1:3">
      <c r="A52">
        <v>2167</v>
      </c>
      <c r="B52" s="1">
        <v>1</v>
      </c>
      <c r="C52">
        <v>40</v>
      </c>
    </row>
    <row r="53" spans="1:3">
      <c r="A53">
        <v>2252</v>
      </c>
      <c r="B53" s="1">
        <v>1</v>
      </c>
      <c r="C53">
        <v>38</v>
      </c>
    </row>
    <row r="54" spans="1:3">
      <c r="A54">
        <v>2266</v>
      </c>
      <c r="B54" s="1">
        <v>1</v>
      </c>
      <c r="C54">
        <v>40</v>
      </c>
    </row>
    <row r="55" spans="1:3">
      <c r="A55">
        <v>2272</v>
      </c>
      <c r="B55" s="1">
        <v>1</v>
      </c>
      <c r="C55">
        <v>38</v>
      </c>
    </row>
    <row r="56" spans="1:3">
      <c r="A56">
        <v>2285</v>
      </c>
      <c r="B56" s="1">
        <v>1</v>
      </c>
      <c r="C56">
        <v>40</v>
      </c>
    </row>
    <row r="57" spans="1:3">
      <c r="A57">
        <v>2341</v>
      </c>
      <c r="B57" s="1">
        <v>1</v>
      </c>
      <c r="C57">
        <v>38</v>
      </c>
    </row>
    <row r="58" spans="1:3">
      <c r="A58">
        <v>2437</v>
      </c>
      <c r="B58" s="1">
        <v>1</v>
      </c>
      <c r="C58">
        <v>40</v>
      </c>
    </row>
    <row r="59" spans="1:3">
      <c r="A59">
        <v>2630</v>
      </c>
      <c r="B59" s="1">
        <v>1</v>
      </c>
      <c r="C59">
        <v>38</v>
      </c>
    </row>
    <row r="60" spans="1:3">
      <c r="A60">
        <v>3005</v>
      </c>
      <c r="B60" s="1">
        <v>1</v>
      </c>
      <c r="C60">
        <v>38</v>
      </c>
    </row>
    <row r="61" spans="1:3">
      <c r="A61">
        <v>3041</v>
      </c>
      <c r="B61" s="1">
        <v>1</v>
      </c>
      <c r="C61">
        <v>37</v>
      </c>
    </row>
    <row r="62" spans="1:3">
      <c r="A62">
        <v>3275</v>
      </c>
      <c r="B62" s="1">
        <v>1</v>
      </c>
      <c r="C62">
        <v>38</v>
      </c>
    </row>
    <row r="63" spans="1:3">
      <c r="A63">
        <v>9999</v>
      </c>
      <c r="B63" s="1">
        <v>1</v>
      </c>
      <c r="C63">
        <v>38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C5"/>
  <sheetViews>
    <sheetView workbookViewId="0"/>
  </sheetViews>
  <sheetFormatPr defaultRowHeight="15.75"/>
  <cols>
    <col min="1" max="1" width="2.875" bestFit="1" customWidth="1"/>
    <col min="2" max="2" width="10.125" bestFit="1" customWidth="1"/>
    <col min="3" max="3" width="2.875" bestFit="1" customWidth="1"/>
  </cols>
  <sheetData>
    <row r="1" spans="1:3">
      <c r="A1">
        <v>60</v>
      </c>
      <c r="B1" s="1">
        <v>1</v>
      </c>
      <c r="C1">
        <v>36</v>
      </c>
    </row>
    <row r="2" spans="1:3">
      <c r="A2">
        <v>61</v>
      </c>
      <c r="B2" s="1">
        <v>1</v>
      </c>
      <c r="C2">
        <v>29</v>
      </c>
    </row>
    <row r="3" spans="1:3">
      <c r="A3">
        <v>62</v>
      </c>
      <c r="B3" s="1">
        <v>1</v>
      </c>
      <c r="C3">
        <v>21</v>
      </c>
    </row>
    <row r="4" spans="1:3">
      <c r="A4">
        <v>63</v>
      </c>
      <c r="B4" s="1">
        <v>1</v>
      </c>
      <c r="C4">
        <v>14</v>
      </c>
    </row>
    <row r="5" spans="1:3">
      <c r="A5">
        <v>64</v>
      </c>
      <c r="B5" s="1">
        <v>1</v>
      </c>
      <c r="C5">
        <v>7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C5"/>
  <sheetViews>
    <sheetView workbookViewId="0">
      <selection activeCell="R40" sqref="R40"/>
    </sheetView>
  </sheetViews>
  <sheetFormatPr defaultRowHeight="15.75"/>
  <cols>
    <col min="1" max="1" width="2.875" bestFit="1" customWidth="1"/>
    <col min="2" max="2" width="10.125" bestFit="1" customWidth="1"/>
    <col min="3" max="3" width="2.875" bestFit="1" customWidth="1"/>
  </cols>
  <sheetData>
    <row r="1" spans="1:3">
      <c r="A1">
        <v>60</v>
      </c>
      <c r="B1" s="1">
        <v>1</v>
      </c>
      <c r="C1">
        <v>42</v>
      </c>
    </row>
    <row r="2" spans="1:3">
      <c r="A2">
        <v>61</v>
      </c>
      <c r="B2" s="1">
        <v>1</v>
      </c>
      <c r="C2">
        <v>33</v>
      </c>
    </row>
    <row r="3" spans="1:3">
      <c r="A3">
        <v>62</v>
      </c>
      <c r="B3" s="1">
        <v>1</v>
      </c>
      <c r="C3">
        <v>24</v>
      </c>
    </row>
    <row r="4" spans="1:3">
      <c r="A4">
        <v>63</v>
      </c>
      <c r="B4" s="1">
        <v>1</v>
      </c>
      <c r="C4">
        <v>16</v>
      </c>
    </row>
    <row r="5" spans="1:3">
      <c r="A5">
        <v>64</v>
      </c>
      <c r="B5" s="1">
        <v>1</v>
      </c>
      <c r="C5">
        <v>8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C2"/>
  <sheetViews>
    <sheetView workbookViewId="0"/>
  </sheetViews>
  <sheetFormatPr defaultRowHeight="15.75"/>
  <cols>
    <col min="1" max="1" width="1.875" bestFit="1" customWidth="1"/>
    <col min="2" max="2" width="10.125" bestFit="1" customWidth="1"/>
    <col min="3" max="3" width="8.875" bestFit="1" customWidth="1"/>
  </cols>
  <sheetData>
    <row r="1" spans="1:3">
      <c r="A1">
        <v>1</v>
      </c>
      <c r="B1" s="1">
        <v>1</v>
      </c>
      <c r="C1">
        <v>19684.32</v>
      </c>
    </row>
    <row r="2" spans="1:3">
      <c r="A2">
        <v>2</v>
      </c>
      <c r="B2" s="1">
        <v>1</v>
      </c>
      <c r="C2">
        <v>14932.8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C21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5.875" bestFit="1" customWidth="1"/>
  </cols>
  <sheetData>
    <row r="1" spans="1:3">
      <c r="A1">
        <v>660</v>
      </c>
      <c r="B1" s="1">
        <v>42011</v>
      </c>
      <c r="C1">
        <v>226</v>
      </c>
    </row>
    <row r="2" spans="1:3">
      <c r="A2">
        <v>672</v>
      </c>
      <c r="B2" s="1">
        <v>42011</v>
      </c>
      <c r="C2">
        <v>243</v>
      </c>
    </row>
    <row r="3" spans="1:3">
      <c r="A3">
        <v>684</v>
      </c>
      <c r="B3" s="1">
        <v>42011</v>
      </c>
      <c r="C3">
        <v>263</v>
      </c>
    </row>
    <row r="4" spans="1:3">
      <c r="A4">
        <v>696</v>
      </c>
      <c r="B4" s="1">
        <v>42011</v>
      </c>
      <c r="C4">
        <v>289</v>
      </c>
    </row>
    <row r="5" spans="1:3">
      <c r="A5">
        <v>708</v>
      </c>
      <c r="B5" s="1">
        <v>42011</v>
      </c>
      <c r="C5">
        <v>325</v>
      </c>
    </row>
    <row r="6" spans="1:3">
      <c r="A6">
        <v>720</v>
      </c>
      <c r="B6" s="1">
        <v>42011</v>
      </c>
      <c r="C6">
        <v>374</v>
      </c>
    </row>
    <row r="7" spans="1:3">
      <c r="A7">
        <v>732</v>
      </c>
      <c r="B7" s="1">
        <v>42011</v>
      </c>
      <c r="C7">
        <v>448</v>
      </c>
    </row>
    <row r="8" spans="1:3">
      <c r="A8">
        <v>744</v>
      </c>
      <c r="B8" s="1">
        <v>42011</v>
      </c>
      <c r="C8">
        <v>572</v>
      </c>
    </row>
    <row r="9" spans="1:3">
      <c r="A9">
        <v>756</v>
      </c>
      <c r="B9" s="1">
        <v>42011</v>
      </c>
      <c r="C9">
        <v>819</v>
      </c>
    </row>
    <row r="10" spans="1:3">
      <c r="A10">
        <v>768</v>
      </c>
      <c r="B10" s="1">
        <v>42011</v>
      </c>
      <c r="C10">
        <v>1563</v>
      </c>
    </row>
    <row r="11" spans="1:3">
      <c r="A11">
        <v>769</v>
      </c>
      <c r="B11" s="1">
        <v>42011</v>
      </c>
      <c r="C11">
        <v>1701</v>
      </c>
    </row>
    <row r="12" spans="1:3">
      <c r="A12">
        <v>770</v>
      </c>
      <c r="B12" s="1">
        <v>42011</v>
      </c>
      <c r="C12">
        <v>1866</v>
      </c>
    </row>
    <row r="13" spans="1:3">
      <c r="A13">
        <v>771</v>
      </c>
      <c r="B13" s="1">
        <v>42011</v>
      </c>
      <c r="C13">
        <v>2069</v>
      </c>
    </row>
    <row r="14" spans="1:3">
      <c r="A14">
        <v>772</v>
      </c>
      <c r="B14" s="1">
        <v>42011</v>
      </c>
      <c r="C14">
        <v>2322</v>
      </c>
    </row>
    <row r="15" spans="1:3">
      <c r="A15">
        <v>773</v>
      </c>
      <c r="B15" s="1">
        <v>42011</v>
      </c>
      <c r="C15">
        <v>2647</v>
      </c>
    </row>
    <row r="16" spans="1:3">
      <c r="A16">
        <v>774</v>
      </c>
      <c r="B16" s="1">
        <v>42011</v>
      </c>
      <c r="C16">
        <v>3081</v>
      </c>
    </row>
    <row r="17" spans="1:3">
      <c r="A17">
        <v>775</v>
      </c>
      <c r="B17" s="1">
        <v>42011</v>
      </c>
      <c r="C17">
        <v>3688</v>
      </c>
    </row>
    <row r="18" spans="1:3">
      <c r="A18">
        <v>776</v>
      </c>
      <c r="B18" s="1">
        <v>42011</v>
      </c>
      <c r="C18">
        <v>4599</v>
      </c>
    </row>
    <row r="19" spans="1:3">
      <c r="A19">
        <v>777</v>
      </c>
      <c r="B19" s="1">
        <v>42011</v>
      </c>
      <c r="C19">
        <v>6117</v>
      </c>
    </row>
    <row r="20" spans="1:3">
      <c r="A20">
        <v>778</v>
      </c>
      <c r="B20" s="1">
        <v>42011</v>
      </c>
      <c r="C20">
        <v>9153</v>
      </c>
    </row>
    <row r="21" spans="1:3">
      <c r="A21">
        <v>779</v>
      </c>
      <c r="B21" s="1">
        <v>42011</v>
      </c>
      <c r="C21">
        <v>18261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C22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5.875" bestFit="1" customWidth="1"/>
  </cols>
  <sheetData>
    <row r="1" spans="1:3">
      <c r="A1">
        <v>660</v>
      </c>
      <c r="B1" s="1">
        <v>42011</v>
      </c>
      <c r="C1">
        <v>225</v>
      </c>
    </row>
    <row r="2" spans="1:3">
      <c r="A2">
        <v>672</v>
      </c>
      <c r="B2" s="1">
        <v>42011</v>
      </c>
      <c r="C2">
        <v>241</v>
      </c>
    </row>
    <row r="3" spans="1:3">
      <c r="A3">
        <v>684</v>
      </c>
      <c r="B3" s="1">
        <v>42011</v>
      </c>
      <c r="C3">
        <v>261</v>
      </c>
    </row>
    <row r="4" spans="1:3">
      <c r="A4">
        <v>696</v>
      </c>
      <c r="B4" s="1">
        <v>42011</v>
      </c>
      <c r="C4">
        <v>287</v>
      </c>
    </row>
    <row r="5" spans="1:3">
      <c r="A5">
        <v>708</v>
      </c>
      <c r="B5" s="1">
        <v>42011</v>
      </c>
      <c r="C5">
        <v>321</v>
      </c>
    </row>
    <row r="6" spans="1:3">
      <c r="A6">
        <v>720</v>
      </c>
      <c r="B6" s="1">
        <v>42011</v>
      </c>
      <c r="C6">
        <v>369</v>
      </c>
    </row>
    <row r="7" spans="1:3">
      <c r="A7">
        <v>732</v>
      </c>
      <c r="B7" s="1">
        <v>42011</v>
      </c>
      <c r="C7">
        <v>440</v>
      </c>
    </row>
    <row r="8" spans="1:3">
      <c r="A8">
        <v>744</v>
      </c>
      <c r="B8" s="1">
        <v>42011</v>
      </c>
      <c r="C8">
        <v>558</v>
      </c>
    </row>
    <row r="9" spans="1:3">
      <c r="A9">
        <v>756</v>
      </c>
      <c r="B9" s="1">
        <v>42011</v>
      </c>
      <c r="C9">
        <v>789</v>
      </c>
    </row>
    <row r="10" spans="1:3">
      <c r="A10">
        <v>768</v>
      </c>
      <c r="B10" s="1">
        <v>42011</v>
      </c>
      <c r="C10">
        <v>1447</v>
      </c>
    </row>
    <row r="11" spans="1:3">
      <c r="A11">
        <v>769</v>
      </c>
      <c r="B11" s="1">
        <v>42011</v>
      </c>
      <c r="C11">
        <v>1564</v>
      </c>
    </row>
    <row r="12" spans="1:3">
      <c r="A12">
        <v>770</v>
      </c>
      <c r="B12" s="1">
        <v>42011</v>
      </c>
      <c r="C12">
        <v>1702</v>
      </c>
    </row>
    <row r="13" spans="1:3">
      <c r="A13">
        <v>771</v>
      </c>
      <c r="B13" s="1">
        <v>42011</v>
      </c>
      <c r="C13">
        <v>1868</v>
      </c>
    </row>
    <row r="14" spans="1:3">
      <c r="A14">
        <v>772</v>
      </c>
      <c r="B14" s="1">
        <v>42011</v>
      </c>
      <c r="C14">
        <v>2070</v>
      </c>
    </row>
    <row r="15" spans="1:3">
      <c r="A15">
        <v>773</v>
      </c>
      <c r="B15" s="1">
        <v>42011</v>
      </c>
      <c r="C15">
        <v>2323</v>
      </c>
    </row>
    <row r="16" spans="1:3">
      <c r="A16">
        <v>774</v>
      </c>
      <c r="B16" s="1">
        <v>42011</v>
      </c>
      <c r="C16">
        <v>2648</v>
      </c>
    </row>
    <row r="17" spans="1:3">
      <c r="A17">
        <v>775</v>
      </c>
      <c r="B17" s="1">
        <v>42011</v>
      </c>
      <c r="C17">
        <v>3082</v>
      </c>
    </row>
    <row r="18" spans="1:3">
      <c r="A18">
        <v>776</v>
      </c>
      <c r="B18" s="1">
        <v>42011</v>
      </c>
      <c r="C18">
        <v>3689</v>
      </c>
    </row>
    <row r="19" spans="1:3">
      <c r="A19">
        <v>777</v>
      </c>
      <c r="B19" s="1">
        <v>42011</v>
      </c>
      <c r="C19">
        <v>4600</v>
      </c>
    </row>
    <row r="20" spans="1:3">
      <c r="A20">
        <v>778</v>
      </c>
      <c r="B20" s="1">
        <v>42011</v>
      </c>
      <c r="C20">
        <v>6116</v>
      </c>
    </row>
    <row r="21" spans="1:3">
      <c r="A21">
        <v>779</v>
      </c>
      <c r="B21" s="1">
        <v>42011</v>
      </c>
      <c r="C21">
        <v>9147</v>
      </c>
    </row>
    <row r="22" spans="1:3">
      <c r="A22">
        <v>780</v>
      </c>
      <c r="B22" s="1">
        <v>42011</v>
      </c>
      <c r="C22">
        <v>18222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C23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5.875" bestFit="1" customWidth="1"/>
  </cols>
  <sheetData>
    <row r="1" spans="1:3">
      <c r="A1">
        <v>660</v>
      </c>
      <c r="B1" s="1">
        <v>42011</v>
      </c>
      <c r="C1">
        <v>223</v>
      </c>
    </row>
    <row r="2" spans="1:3">
      <c r="A2">
        <v>672</v>
      </c>
      <c r="B2" s="1">
        <v>42011</v>
      </c>
      <c r="C2">
        <v>239</v>
      </c>
    </row>
    <row r="3" spans="1:3">
      <c r="A3">
        <v>684</v>
      </c>
      <c r="B3" s="1">
        <v>42011</v>
      </c>
      <c r="C3">
        <v>259</v>
      </c>
    </row>
    <row r="4" spans="1:3">
      <c r="A4">
        <v>696</v>
      </c>
      <c r="B4" s="1">
        <v>42011</v>
      </c>
      <c r="C4">
        <v>284</v>
      </c>
    </row>
    <row r="5" spans="1:3">
      <c r="A5">
        <v>708</v>
      </c>
      <c r="B5" s="1">
        <v>42011</v>
      </c>
      <c r="C5">
        <v>317</v>
      </c>
    </row>
    <row r="6" spans="1:3">
      <c r="A6">
        <v>720</v>
      </c>
      <c r="B6" s="1">
        <v>42011</v>
      </c>
      <c r="C6">
        <v>363</v>
      </c>
    </row>
    <row r="7" spans="1:3">
      <c r="A7">
        <v>732</v>
      </c>
      <c r="B7" s="1">
        <v>42011</v>
      </c>
      <c r="C7">
        <v>432</v>
      </c>
    </row>
    <row r="8" spans="1:3">
      <c r="A8">
        <v>744</v>
      </c>
      <c r="B8" s="1">
        <v>42011</v>
      </c>
      <c r="C8">
        <v>544</v>
      </c>
    </row>
    <row r="9" spans="1:3">
      <c r="A9">
        <v>756</v>
      </c>
      <c r="B9" s="1">
        <v>42011</v>
      </c>
      <c r="C9">
        <v>760</v>
      </c>
    </row>
    <row r="10" spans="1:3">
      <c r="A10">
        <v>768</v>
      </c>
      <c r="B10" s="1">
        <v>42011</v>
      </c>
      <c r="C10">
        <v>1347</v>
      </c>
    </row>
    <row r="11" spans="1:3">
      <c r="A11">
        <v>769</v>
      </c>
      <c r="B11" s="1">
        <v>42011</v>
      </c>
      <c r="C11">
        <v>1447</v>
      </c>
    </row>
    <row r="12" spans="1:3">
      <c r="A12">
        <v>770</v>
      </c>
      <c r="B12" s="1">
        <v>42011</v>
      </c>
      <c r="C12">
        <v>1564</v>
      </c>
    </row>
    <row r="13" spans="1:3">
      <c r="A13">
        <v>771</v>
      </c>
      <c r="B13" s="1">
        <v>42011</v>
      </c>
      <c r="C13">
        <v>1702</v>
      </c>
    </row>
    <row r="14" spans="1:3">
      <c r="A14">
        <v>772</v>
      </c>
      <c r="B14" s="1">
        <v>42011</v>
      </c>
      <c r="C14">
        <v>1868</v>
      </c>
    </row>
    <row r="15" spans="1:3">
      <c r="A15">
        <v>773</v>
      </c>
      <c r="B15" s="1">
        <v>42011</v>
      </c>
      <c r="C15">
        <v>2070</v>
      </c>
    </row>
    <row r="16" spans="1:3">
      <c r="A16">
        <v>774</v>
      </c>
      <c r="B16" s="1">
        <v>42011</v>
      </c>
      <c r="C16">
        <v>2322</v>
      </c>
    </row>
    <row r="17" spans="1:3">
      <c r="A17">
        <v>775</v>
      </c>
      <c r="B17" s="1">
        <v>42011</v>
      </c>
      <c r="C17">
        <v>2647</v>
      </c>
    </row>
    <row r="18" spans="1:3">
      <c r="A18">
        <v>776</v>
      </c>
      <c r="B18" s="1">
        <v>42011</v>
      </c>
      <c r="C18">
        <v>3080</v>
      </c>
    </row>
    <row r="19" spans="1:3">
      <c r="A19">
        <v>777</v>
      </c>
      <c r="B19" s="1">
        <v>42011</v>
      </c>
      <c r="C19">
        <v>3685</v>
      </c>
    </row>
    <row r="20" spans="1:3">
      <c r="A20">
        <v>778</v>
      </c>
      <c r="B20" s="1">
        <v>42011</v>
      </c>
      <c r="C20">
        <v>4593</v>
      </c>
    </row>
    <row r="21" spans="1:3">
      <c r="A21">
        <v>779</v>
      </c>
      <c r="B21" s="1">
        <v>42011</v>
      </c>
      <c r="C21">
        <v>6102</v>
      </c>
    </row>
    <row r="22" spans="1:3">
      <c r="A22">
        <v>780</v>
      </c>
      <c r="B22" s="1">
        <v>42011</v>
      </c>
      <c r="C22">
        <v>9111</v>
      </c>
    </row>
    <row r="23" spans="1:3">
      <c r="A23">
        <v>781</v>
      </c>
      <c r="B23" s="1">
        <v>42011</v>
      </c>
      <c r="C23">
        <v>18177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C24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5.875" bestFit="1" customWidth="1"/>
  </cols>
  <sheetData>
    <row r="1" spans="1:3">
      <c r="A1">
        <v>660</v>
      </c>
      <c r="B1" s="1">
        <v>42011</v>
      </c>
      <c r="C1">
        <v>222</v>
      </c>
    </row>
    <row r="2" spans="1:3">
      <c r="A2">
        <v>672</v>
      </c>
      <c r="B2" s="1">
        <v>42011</v>
      </c>
      <c r="C2">
        <v>237</v>
      </c>
    </row>
    <row r="3" spans="1:3">
      <c r="A3">
        <v>684</v>
      </c>
      <c r="B3" s="1">
        <v>42011</v>
      </c>
      <c r="C3">
        <v>256</v>
      </c>
    </row>
    <row r="4" spans="1:3">
      <c r="A4">
        <v>696</v>
      </c>
      <c r="B4" s="1">
        <v>42011</v>
      </c>
      <c r="C4">
        <v>281</v>
      </c>
    </row>
    <row r="5" spans="1:3">
      <c r="A5">
        <v>708</v>
      </c>
      <c r="B5" s="1">
        <v>42011</v>
      </c>
      <c r="C5">
        <v>313</v>
      </c>
    </row>
    <row r="6" spans="1:3">
      <c r="A6">
        <v>720</v>
      </c>
      <c r="B6" s="1">
        <v>42011</v>
      </c>
      <c r="C6">
        <v>358</v>
      </c>
    </row>
    <row r="7" spans="1:3">
      <c r="A7">
        <v>732</v>
      </c>
      <c r="B7" s="1">
        <v>42011</v>
      </c>
      <c r="C7">
        <v>424</v>
      </c>
    </row>
    <row r="8" spans="1:3">
      <c r="A8">
        <v>744</v>
      </c>
      <c r="B8" s="1">
        <v>42011</v>
      </c>
      <c r="C8">
        <v>531</v>
      </c>
    </row>
    <row r="9" spans="1:3">
      <c r="A9">
        <v>756</v>
      </c>
      <c r="B9" s="1">
        <v>42011</v>
      </c>
      <c r="C9">
        <v>733</v>
      </c>
    </row>
    <row r="10" spans="1:3">
      <c r="A10">
        <v>768</v>
      </c>
      <c r="B10" s="1">
        <v>42011</v>
      </c>
      <c r="C10">
        <v>1260</v>
      </c>
    </row>
    <row r="11" spans="1:3">
      <c r="A11">
        <v>769</v>
      </c>
      <c r="B11" s="1">
        <v>42011</v>
      </c>
      <c r="C11">
        <v>1347</v>
      </c>
    </row>
    <row r="12" spans="1:3">
      <c r="A12">
        <v>770</v>
      </c>
      <c r="B12" s="1">
        <v>42011</v>
      </c>
      <c r="C12">
        <v>1447</v>
      </c>
    </row>
    <row r="13" spans="1:3">
      <c r="A13">
        <v>771</v>
      </c>
      <c r="B13" s="1">
        <v>42011</v>
      </c>
      <c r="C13">
        <v>1563</v>
      </c>
    </row>
    <row r="14" spans="1:3">
      <c r="A14">
        <v>772</v>
      </c>
      <c r="B14" s="1">
        <v>42011</v>
      </c>
      <c r="C14">
        <v>1701</v>
      </c>
    </row>
    <row r="15" spans="1:3">
      <c r="A15">
        <v>773</v>
      </c>
      <c r="B15" s="1">
        <v>42011</v>
      </c>
      <c r="C15">
        <v>1866</v>
      </c>
    </row>
    <row r="16" spans="1:3">
      <c r="A16">
        <v>774</v>
      </c>
      <c r="B16" s="1">
        <v>42011</v>
      </c>
      <c r="C16">
        <v>2068</v>
      </c>
    </row>
    <row r="17" spans="1:3">
      <c r="A17">
        <v>775</v>
      </c>
      <c r="B17" s="1">
        <v>42011</v>
      </c>
      <c r="C17">
        <v>2320</v>
      </c>
    </row>
    <row r="18" spans="1:3">
      <c r="A18">
        <v>776</v>
      </c>
      <c r="B18" s="1">
        <v>42011</v>
      </c>
      <c r="C18">
        <v>2643</v>
      </c>
    </row>
    <row r="19" spans="1:3">
      <c r="A19">
        <v>777</v>
      </c>
      <c r="B19" s="1">
        <v>42011</v>
      </c>
      <c r="C19">
        <v>3074</v>
      </c>
    </row>
    <row r="20" spans="1:3">
      <c r="A20">
        <v>778</v>
      </c>
      <c r="B20" s="1">
        <v>42011</v>
      </c>
      <c r="C20">
        <v>3677</v>
      </c>
    </row>
    <row r="21" spans="1:3">
      <c r="A21">
        <v>779</v>
      </c>
      <c r="B21" s="1">
        <v>42011</v>
      </c>
      <c r="C21">
        <v>4578</v>
      </c>
    </row>
    <row r="22" spans="1:3">
      <c r="A22">
        <v>780</v>
      </c>
      <c r="B22" s="1">
        <v>42011</v>
      </c>
      <c r="C22">
        <v>6074</v>
      </c>
    </row>
    <row r="23" spans="1:3">
      <c r="A23">
        <v>781</v>
      </c>
      <c r="B23" s="1">
        <v>42011</v>
      </c>
      <c r="C23">
        <v>9088</v>
      </c>
    </row>
    <row r="24" spans="1:3">
      <c r="A24">
        <v>782</v>
      </c>
      <c r="B24" s="1">
        <v>42011</v>
      </c>
      <c r="C24">
        <v>18131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C25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5.875" bestFit="1" customWidth="1"/>
  </cols>
  <sheetData>
    <row r="1" spans="1:3">
      <c r="A1">
        <v>660</v>
      </c>
      <c r="B1" s="1">
        <v>42011</v>
      </c>
      <c r="C1">
        <v>220</v>
      </c>
    </row>
    <row r="2" spans="1:3">
      <c r="A2">
        <v>672</v>
      </c>
      <c r="B2" s="1">
        <v>42011</v>
      </c>
      <c r="C2">
        <v>236</v>
      </c>
    </row>
    <row r="3" spans="1:3">
      <c r="A3">
        <v>684</v>
      </c>
      <c r="B3" s="1">
        <v>42011</v>
      </c>
      <c r="C3">
        <v>254</v>
      </c>
    </row>
    <row r="4" spans="1:3">
      <c r="A4">
        <v>696</v>
      </c>
      <c r="B4" s="1">
        <v>42011</v>
      </c>
      <c r="C4">
        <v>278</v>
      </c>
    </row>
    <row r="5" spans="1:3">
      <c r="A5">
        <v>708</v>
      </c>
      <c r="B5" s="1">
        <v>42011</v>
      </c>
      <c r="C5">
        <v>310</v>
      </c>
    </row>
    <row r="6" spans="1:3">
      <c r="A6">
        <v>720</v>
      </c>
      <c r="B6" s="1">
        <v>42011</v>
      </c>
      <c r="C6">
        <v>353</v>
      </c>
    </row>
    <row r="7" spans="1:3">
      <c r="A7">
        <v>732</v>
      </c>
      <c r="B7" s="1">
        <v>42011</v>
      </c>
      <c r="C7">
        <v>417</v>
      </c>
    </row>
    <row r="8" spans="1:3">
      <c r="A8">
        <v>744</v>
      </c>
      <c r="B8" s="1">
        <v>42011</v>
      </c>
      <c r="C8">
        <v>519</v>
      </c>
    </row>
    <row r="9" spans="1:3">
      <c r="A9">
        <v>756</v>
      </c>
      <c r="B9" s="1">
        <v>42011</v>
      </c>
      <c r="C9">
        <v>708</v>
      </c>
    </row>
    <row r="10" spans="1:3">
      <c r="A10">
        <v>768</v>
      </c>
      <c r="B10" s="1">
        <v>42011</v>
      </c>
      <c r="C10">
        <v>1184</v>
      </c>
    </row>
    <row r="11" spans="1:3">
      <c r="A11">
        <v>769</v>
      </c>
      <c r="B11" s="1">
        <v>42011</v>
      </c>
      <c r="C11">
        <v>1260</v>
      </c>
    </row>
    <row r="12" spans="1:3">
      <c r="A12">
        <v>770</v>
      </c>
      <c r="B12" s="1">
        <v>42011</v>
      </c>
      <c r="C12">
        <v>1346</v>
      </c>
    </row>
    <row r="13" spans="1:3">
      <c r="A13">
        <v>771</v>
      </c>
      <c r="B13" s="1">
        <v>42011</v>
      </c>
      <c r="C13">
        <v>1446</v>
      </c>
    </row>
    <row r="14" spans="1:3">
      <c r="A14">
        <v>772</v>
      </c>
      <c r="B14" s="1">
        <v>42011</v>
      </c>
      <c r="C14">
        <v>1562</v>
      </c>
    </row>
    <row r="15" spans="1:3">
      <c r="A15">
        <v>773</v>
      </c>
      <c r="B15" s="1">
        <v>42011</v>
      </c>
      <c r="C15">
        <v>1699</v>
      </c>
    </row>
    <row r="16" spans="1:3">
      <c r="A16">
        <v>774</v>
      </c>
      <c r="B16" s="1">
        <v>42011</v>
      </c>
      <c r="C16">
        <v>1864</v>
      </c>
    </row>
    <row r="17" spans="1:3">
      <c r="A17">
        <v>775</v>
      </c>
      <c r="B17" s="1">
        <v>42011</v>
      </c>
      <c r="C17">
        <v>2065</v>
      </c>
    </row>
    <row r="18" spans="1:3">
      <c r="A18">
        <v>776</v>
      </c>
      <c r="B18" s="1">
        <v>42011</v>
      </c>
      <c r="C18">
        <v>2315</v>
      </c>
    </row>
    <row r="19" spans="1:3">
      <c r="A19">
        <v>777</v>
      </c>
      <c r="B19" s="1">
        <v>42011</v>
      </c>
      <c r="C19">
        <v>2637</v>
      </c>
    </row>
    <row r="20" spans="1:3">
      <c r="A20">
        <v>778</v>
      </c>
      <c r="B20" s="1">
        <v>42011</v>
      </c>
      <c r="C20">
        <v>3065</v>
      </c>
    </row>
    <row r="21" spans="1:3">
      <c r="A21">
        <v>779</v>
      </c>
      <c r="B21" s="1">
        <v>42011</v>
      </c>
      <c r="C21">
        <v>3663</v>
      </c>
    </row>
    <row r="22" spans="1:3">
      <c r="A22">
        <v>780</v>
      </c>
      <c r="B22" s="1">
        <v>42011</v>
      </c>
      <c r="C22">
        <v>4556</v>
      </c>
    </row>
    <row r="23" spans="1:3">
      <c r="A23">
        <v>781</v>
      </c>
      <c r="B23" s="1">
        <v>42011</v>
      </c>
      <c r="C23">
        <v>6059</v>
      </c>
    </row>
    <row r="24" spans="1:3">
      <c r="A24">
        <v>782</v>
      </c>
      <c r="B24" s="1">
        <v>42011</v>
      </c>
      <c r="C24">
        <v>9066</v>
      </c>
    </row>
    <row r="25" spans="1:3">
      <c r="A25">
        <v>783</v>
      </c>
      <c r="B25" s="1">
        <v>42011</v>
      </c>
      <c r="C25">
        <v>18085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C26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5.875" bestFit="1" customWidth="1"/>
  </cols>
  <sheetData>
    <row r="1" spans="1:3">
      <c r="A1">
        <v>660</v>
      </c>
      <c r="B1" s="1">
        <v>42011</v>
      </c>
      <c r="C1">
        <v>219</v>
      </c>
    </row>
    <row r="2" spans="1:3">
      <c r="A2">
        <v>672</v>
      </c>
      <c r="B2" s="1">
        <v>42011</v>
      </c>
      <c r="C2">
        <v>234</v>
      </c>
    </row>
    <row r="3" spans="1:3">
      <c r="A3">
        <v>684</v>
      </c>
      <c r="B3" s="1">
        <v>42011</v>
      </c>
      <c r="C3">
        <v>252</v>
      </c>
    </row>
    <row r="4" spans="1:3">
      <c r="A4">
        <v>696</v>
      </c>
      <c r="B4" s="1">
        <v>42011</v>
      </c>
      <c r="C4">
        <v>276</v>
      </c>
    </row>
    <row r="5" spans="1:3">
      <c r="A5">
        <v>708</v>
      </c>
      <c r="B5" s="1">
        <v>42011</v>
      </c>
      <c r="C5">
        <v>306</v>
      </c>
    </row>
    <row r="6" spans="1:3">
      <c r="A6">
        <v>720</v>
      </c>
      <c r="B6" s="1">
        <v>42011</v>
      </c>
      <c r="C6">
        <v>348</v>
      </c>
    </row>
    <row r="7" spans="1:3">
      <c r="A7">
        <v>732</v>
      </c>
      <c r="B7" s="1">
        <v>42011</v>
      </c>
      <c r="C7">
        <v>410</v>
      </c>
    </row>
    <row r="8" spans="1:3">
      <c r="A8">
        <v>744</v>
      </c>
      <c r="B8" s="1">
        <v>42011</v>
      </c>
      <c r="C8">
        <v>507</v>
      </c>
    </row>
    <row r="9" spans="1:3">
      <c r="A9">
        <v>756</v>
      </c>
      <c r="B9" s="1">
        <v>42011</v>
      </c>
      <c r="C9">
        <v>685</v>
      </c>
    </row>
    <row r="10" spans="1:3">
      <c r="A10">
        <v>768</v>
      </c>
      <c r="B10" s="1">
        <v>42011</v>
      </c>
      <c r="C10">
        <v>1116</v>
      </c>
    </row>
    <row r="11" spans="1:3">
      <c r="A11">
        <v>769</v>
      </c>
      <c r="B11" s="1">
        <v>42011</v>
      </c>
      <c r="C11">
        <v>1183</v>
      </c>
    </row>
    <row r="12" spans="1:3">
      <c r="A12">
        <v>770</v>
      </c>
      <c r="B12" s="1">
        <v>42011</v>
      </c>
      <c r="C12">
        <v>1258</v>
      </c>
    </row>
    <row r="13" spans="1:3">
      <c r="A13">
        <v>771</v>
      </c>
      <c r="B13" s="1">
        <v>42011</v>
      </c>
      <c r="C13">
        <v>1345</v>
      </c>
    </row>
    <row r="14" spans="1:3">
      <c r="A14">
        <v>772</v>
      </c>
      <c r="B14" s="1">
        <v>42011</v>
      </c>
      <c r="C14">
        <v>1444</v>
      </c>
    </row>
    <row r="15" spans="1:3">
      <c r="A15">
        <v>773</v>
      </c>
      <c r="B15" s="1">
        <v>42011</v>
      </c>
      <c r="C15">
        <v>1560</v>
      </c>
    </row>
    <row r="16" spans="1:3">
      <c r="A16">
        <v>774</v>
      </c>
      <c r="B16" s="1">
        <v>42011</v>
      </c>
      <c r="C16">
        <v>1696</v>
      </c>
    </row>
    <row r="17" spans="1:3">
      <c r="A17">
        <v>775</v>
      </c>
      <c r="B17" s="1">
        <v>42011</v>
      </c>
      <c r="C17">
        <v>1860</v>
      </c>
    </row>
    <row r="18" spans="1:3">
      <c r="A18">
        <v>776</v>
      </c>
      <c r="B18" s="1">
        <v>42011</v>
      </c>
      <c r="C18">
        <v>2060</v>
      </c>
    </row>
    <row r="19" spans="1:3">
      <c r="A19">
        <v>777</v>
      </c>
      <c r="B19" s="1">
        <v>42011</v>
      </c>
      <c r="C19">
        <v>2309</v>
      </c>
    </row>
    <row r="20" spans="1:3">
      <c r="A20">
        <v>778</v>
      </c>
      <c r="B20" s="1">
        <v>42011</v>
      </c>
      <c r="C20">
        <v>2628</v>
      </c>
    </row>
    <row r="21" spans="1:3">
      <c r="A21">
        <v>779</v>
      </c>
      <c r="B21" s="1">
        <v>42011</v>
      </c>
      <c r="C21">
        <v>3053</v>
      </c>
    </row>
    <row r="22" spans="1:3">
      <c r="A22">
        <v>780</v>
      </c>
      <c r="B22" s="1">
        <v>42011</v>
      </c>
      <c r="C22">
        <v>3644</v>
      </c>
    </row>
    <row r="23" spans="1:3">
      <c r="A23">
        <v>781</v>
      </c>
      <c r="B23" s="1">
        <v>42011</v>
      </c>
      <c r="C23">
        <v>4544</v>
      </c>
    </row>
    <row r="24" spans="1:3">
      <c r="A24">
        <v>782</v>
      </c>
      <c r="B24" s="1">
        <v>42011</v>
      </c>
      <c r="C24">
        <v>6044</v>
      </c>
    </row>
    <row r="25" spans="1:3">
      <c r="A25">
        <v>783</v>
      </c>
      <c r="B25" s="1">
        <v>42011</v>
      </c>
      <c r="C25">
        <v>9043</v>
      </c>
    </row>
    <row r="26" spans="1:3">
      <c r="A26">
        <v>784</v>
      </c>
      <c r="B26" s="1">
        <v>42011</v>
      </c>
      <c r="C26">
        <v>18040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C27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5.875" bestFit="1" customWidth="1"/>
  </cols>
  <sheetData>
    <row r="1" spans="1:3">
      <c r="A1">
        <v>660</v>
      </c>
      <c r="B1" s="1">
        <v>42011</v>
      </c>
      <c r="C1">
        <v>218</v>
      </c>
    </row>
    <row r="2" spans="1:3">
      <c r="A2">
        <v>672</v>
      </c>
      <c r="B2" s="1">
        <v>42011</v>
      </c>
      <c r="C2">
        <v>232</v>
      </c>
    </row>
    <row r="3" spans="1:3">
      <c r="A3">
        <v>684</v>
      </c>
      <c r="B3" s="1">
        <v>42011</v>
      </c>
      <c r="C3">
        <v>250</v>
      </c>
    </row>
    <row r="4" spans="1:3">
      <c r="A4">
        <v>696</v>
      </c>
      <c r="B4" s="1">
        <v>42011</v>
      </c>
      <c r="C4">
        <v>273</v>
      </c>
    </row>
    <row r="5" spans="1:3">
      <c r="A5">
        <v>708</v>
      </c>
      <c r="B5" s="1">
        <v>42011</v>
      </c>
      <c r="C5">
        <v>303</v>
      </c>
    </row>
    <row r="6" spans="1:3">
      <c r="A6">
        <v>720</v>
      </c>
      <c r="B6" s="1">
        <v>42011</v>
      </c>
      <c r="C6">
        <v>344</v>
      </c>
    </row>
    <row r="7" spans="1:3">
      <c r="A7">
        <v>732</v>
      </c>
      <c r="B7" s="1">
        <v>42011</v>
      </c>
      <c r="C7">
        <v>403</v>
      </c>
    </row>
    <row r="8" spans="1:3">
      <c r="A8">
        <v>744</v>
      </c>
      <c r="B8" s="1">
        <v>42011</v>
      </c>
      <c r="C8">
        <v>496</v>
      </c>
    </row>
    <row r="9" spans="1:3">
      <c r="A9">
        <v>756</v>
      </c>
      <c r="B9" s="1">
        <v>42011</v>
      </c>
      <c r="C9">
        <v>663</v>
      </c>
    </row>
    <row r="10" spans="1:3">
      <c r="A10">
        <v>768</v>
      </c>
      <c r="B10" s="1">
        <v>42011</v>
      </c>
      <c r="C10">
        <v>1056</v>
      </c>
    </row>
    <row r="11" spans="1:3">
      <c r="A11">
        <v>769</v>
      </c>
      <c r="B11" s="1">
        <v>42011</v>
      </c>
      <c r="C11">
        <v>1115</v>
      </c>
    </row>
    <row r="12" spans="1:3">
      <c r="A12">
        <v>770</v>
      </c>
      <c r="B12" s="1">
        <v>42011</v>
      </c>
      <c r="C12">
        <v>1181</v>
      </c>
    </row>
    <row r="13" spans="1:3">
      <c r="A13">
        <v>771</v>
      </c>
      <c r="B13" s="1">
        <v>42011</v>
      </c>
      <c r="C13">
        <v>1257</v>
      </c>
    </row>
    <row r="14" spans="1:3">
      <c r="A14">
        <v>772</v>
      </c>
      <c r="B14" s="1">
        <v>42011</v>
      </c>
      <c r="C14">
        <v>1342</v>
      </c>
    </row>
    <row r="15" spans="1:3">
      <c r="A15">
        <v>773</v>
      </c>
      <c r="B15" s="1">
        <v>42011</v>
      </c>
      <c r="C15">
        <v>1441</v>
      </c>
    </row>
    <row r="16" spans="1:3">
      <c r="A16">
        <v>774</v>
      </c>
      <c r="B16" s="1">
        <v>42011</v>
      </c>
      <c r="C16">
        <v>1556</v>
      </c>
    </row>
    <row r="17" spans="1:3">
      <c r="A17">
        <v>775</v>
      </c>
      <c r="B17" s="1">
        <v>42011</v>
      </c>
      <c r="C17">
        <v>1692</v>
      </c>
    </row>
    <row r="18" spans="1:3">
      <c r="A18">
        <v>776</v>
      </c>
      <c r="B18" s="1">
        <v>42011</v>
      </c>
      <c r="C18">
        <v>1855</v>
      </c>
    </row>
    <row r="19" spans="1:3">
      <c r="A19">
        <v>777</v>
      </c>
      <c r="B19" s="1">
        <v>42011</v>
      </c>
      <c r="C19">
        <v>2053</v>
      </c>
    </row>
    <row r="20" spans="1:3">
      <c r="A20">
        <v>778</v>
      </c>
      <c r="B20" s="1">
        <v>42011</v>
      </c>
      <c r="C20">
        <v>2300</v>
      </c>
    </row>
    <row r="21" spans="1:3">
      <c r="A21">
        <v>779</v>
      </c>
      <c r="B21" s="1">
        <v>42011</v>
      </c>
      <c r="C21">
        <v>2617</v>
      </c>
    </row>
    <row r="22" spans="1:3">
      <c r="A22">
        <v>780</v>
      </c>
      <c r="B22" s="1">
        <v>42011</v>
      </c>
      <c r="C22">
        <v>3037</v>
      </c>
    </row>
    <row r="23" spans="1:3">
      <c r="A23">
        <v>781</v>
      </c>
      <c r="B23" s="1">
        <v>42011</v>
      </c>
      <c r="C23">
        <v>3635</v>
      </c>
    </row>
    <row r="24" spans="1:3">
      <c r="A24">
        <v>782</v>
      </c>
      <c r="B24" s="1">
        <v>42011</v>
      </c>
      <c r="C24">
        <v>4533</v>
      </c>
    </row>
    <row r="25" spans="1:3">
      <c r="A25">
        <v>783</v>
      </c>
      <c r="B25" s="1">
        <v>42011</v>
      </c>
      <c r="C25">
        <v>6028</v>
      </c>
    </row>
    <row r="26" spans="1:3">
      <c r="A26">
        <v>784</v>
      </c>
      <c r="B26" s="1">
        <v>42011</v>
      </c>
      <c r="C26">
        <v>9020</v>
      </c>
    </row>
    <row r="27" spans="1:3">
      <c r="A27">
        <v>785</v>
      </c>
      <c r="B27" s="1">
        <v>42011</v>
      </c>
      <c r="C27">
        <v>17994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C28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5.875" bestFit="1" customWidth="1"/>
  </cols>
  <sheetData>
    <row r="1" spans="1:3">
      <c r="A1">
        <v>660</v>
      </c>
      <c r="B1" s="1">
        <v>42011</v>
      </c>
      <c r="C1">
        <v>216</v>
      </c>
    </row>
    <row r="2" spans="1:3">
      <c r="A2">
        <v>672</v>
      </c>
      <c r="B2" s="1">
        <v>42011</v>
      </c>
      <c r="C2">
        <v>230</v>
      </c>
    </row>
    <row r="3" spans="1:3">
      <c r="A3">
        <v>684</v>
      </c>
      <c r="B3" s="1">
        <v>42011</v>
      </c>
      <c r="C3">
        <v>248</v>
      </c>
    </row>
    <row r="4" spans="1:3">
      <c r="A4">
        <v>696</v>
      </c>
      <c r="B4" s="1">
        <v>42011</v>
      </c>
      <c r="C4">
        <v>270</v>
      </c>
    </row>
    <row r="5" spans="1:3">
      <c r="A5">
        <v>708</v>
      </c>
      <c r="B5" s="1">
        <v>42011</v>
      </c>
      <c r="C5">
        <v>299</v>
      </c>
    </row>
    <row r="6" spans="1:3">
      <c r="A6">
        <v>720</v>
      </c>
      <c r="B6" s="1">
        <v>42011</v>
      </c>
      <c r="C6">
        <v>339</v>
      </c>
    </row>
    <row r="7" spans="1:3">
      <c r="A7">
        <v>732</v>
      </c>
      <c r="B7" s="1">
        <v>42011</v>
      </c>
      <c r="C7">
        <v>396</v>
      </c>
    </row>
    <row r="8" spans="1:3">
      <c r="A8">
        <v>744</v>
      </c>
      <c r="B8" s="1">
        <v>42011</v>
      </c>
      <c r="C8">
        <v>485</v>
      </c>
    </row>
    <row r="9" spans="1:3">
      <c r="A9">
        <v>756</v>
      </c>
      <c r="B9" s="1">
        <v>42011</v>
      </c>
      <c r="C9">
        <v>643</v>
      </c>
    </row>
    <row r="10" spans="1:3">
      <c r="A10">
        <v>768</v>
      </c>
      <c r="B10" s="1">
        <v>42011</v>
      </c>
      <c r="C10">
        <v>1002</v>
      </c>
    </row>
    <row r="11" spans="1:3">
      <c r="A11">
        <v>769</v>
      </c>
      <c r="B11" s="1">
        <v>42011</v>
      </c>
      <c r="C11">
        <v>1055</v>
      </c>
    </row>
    <row r="12" spans="1:3">
      <c r="A12">
        <v>770</v>
      </c>
      <c r="B12" s="1">
        <v>42011</v>
      </c>
      <c r="C12">
        <v>1113</v>
      </c>
    </row>
    <row r="13" spans="1:3">
      <c r="A13">
        <v>771</v>
      </c>
      <c r="B13" s="1">
        <v>42011</v>
      </c>
      <c r="C13">
        <v>1179</v>
      </c>
    </row>
    <row r="14" spans="1:3">
      <c r="A14">
        <v>772</v>
      </c>
      <c r="B14" s="1">
        <v>42011</v>
      </c>
      <c r="C14">
        <v>1254</v>
      </c>
    </row>
    <row r="15" spans="1:3">
      <c r="A15">
        <v>773</v>
      </c>
      <c r="B15" s="1">
        <v>42011</v>
      </c>
      <c r="C15">
        <v>1339</v>
      </c>
    </row>
    <row r="16" spans="1:3">
      <c r="A16">
        <v>774</v>
      </c>
      <c r="B16" s="1">
        <v>42011</v>
      </c>
      <c r="C16">
        <v>1438</v>
      </c>
    </row>
    <row r="17" spans="1:3">
      <c r="A17">
        <v>775</v>
      </c>
      <c r="B17" s="1">
        <v>42011</v>
      </c>
      <c r="C17">
        <v>1552</v>
      </c>
    </row>
    <row r="18" spans="1:3">
      <c r="A18">
        <v>776</v>
      </c>
      <c r="B18" s="1">
        <v>42011</v>
      </c>
      <c r="C18">
        <v>1687</v>
      </c>
    </row>
    <row r="19" spans="1:3">
      <c r="A19">
        <v>777</v>
      </c>
      <c r="B19" s="1">
        <v>42011</v>
      </c>
      <c r="C19">
        <v>1849</v>
      </c>
    </row>
    <row r="20" spans="1:3">
      <c r="A20">
        <v>778</v>
      </c>
      <c r="B20" s="1">
        <v>42011</v>
      </c>
      <c r="C20">
        <v>2045</v>
      </c>
    </row>
    <row r="21" spans="1:3">
      <c r="A21">
        <v>779</v>
      </c>
      <c r="B21" s="1">
        <v>42011</v>
      </c>
      <c r="C21">
        <v>2290</v>
      </c>
    </row>
    <row r="22" spans="1:3">
      <c r="A22">
        <v>780</v>
      </c>
      <c r="B22" s="1">
        <v>42011</v>
      </c>
      <c r="C22">
        <v>2603</v>
      </c>
    </row>
    <row r="23" spans="1:3">
      <c r="A23">
        <v>781</v>
      </c>
      <c r="B23" s="1">
        <v>42011</v>
      </c>
      <c r="C23">
        <v>3029</v>
      </c>
    </row>
    <row r="24" spans="1:3">
      <c r="A24">
        <v>782</v>
      </c>
      <c r="B24" s="1">
        <v>42011</v>
      </c>
      <c r="C24">
        <v>3626</v>
      </c>
    </row>
    <row r="25" spans="1:3">
      <c r="A25">
        <v>783</v>
      </c>
      <c r="B25" s="1">
        <v>42011</v>
      </c>
      <c r="C25">
        <v>4521</v>
      </c>
    </row>
    <row r="26" spans="1:3">
      <c r="A26">
        <v>784</v>
      </c>
      <c r="B26" s="1">
        <v>42011</v>
      </c>
      <c r="C26">
        <v>6013</v>
      </c>
    </row>
    <row r="27" spans="1:3">
      <c r="A27">
        <v>785</v>
      </c>
      <c r="B27" s="1">
        <v>42011</v>
      </c>
      <c r="C27">
        <v>8997</v>
      </c>
    </row>
    <row r="28" spans="1:3">
      <c r="A28">
        <v>786</v>
      </c>
      <c r="B28" s="1">
        <v>42011</v>
      </c>
      <c r="C28">
        <v>17949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C29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5.875" bestFit="1" customWidth="1"/>
  </cols>
  <sheetData>
    <row r="1" spans="1:3">
      <c r="A1">
        <v>660</v>
      </c>
      <c r="B1" s="1">
        <v>42011</v>
      </c>
      <c r="C1">
        <v>215</v>
      </c>
    </row>
    <row r="2" spans="1:3">
      <c r="A2">
        <v>672</v>
      </c>
      <c r="B2" s="1">
        <v>42011</v>
      </c>
      <c r="C2">
        <v>229</v>
      </c>
    </row>
    <row r="3" spans="1:3">
      <c r="A3">
        <v>684</v>
      </c>
      <c r="B3" s="1">
        <v>42011</v>
      </c>
      <c r="C3">
        <v>246</v>
      </c>
    </row>
    <row r="4" spans="1:3">
      <c r="A4">
        <v>696</v>
      </c>
      <c r="B4" s="1">
        <v>42011</v>
      </c>
      <c r="C4">
        <v>268</v>
      </c>
    </row>
    <row r="5" spans="1:3">
      <c r="A5">
        <v>708</v>
      </c>
      <c r="B5" s="1">
        <v>42011</v>
      </c>
      <c r="C5">
        <v>296</v>
      </c>
    </row>
    <row r="6" spans="1:3">
      <c r="A6">
        <v>720</v>
      </c>
      <c r="B6" s="1">
        <v>42011</v>
      </c>
      <c r="C6">
        <v>335</v>
      </c>
    </row>
    <row r="7" spans="1:3">
      <c r="A7">
        <v>732</v>
      </c>
      <c r="B7" s="1">
        <v>42011</v>
      </c>
      <c r="C7">
        <v>390</v>
      </c>
    </row>
    <row r="8" spans="1:3">
      <c r="A8">
        <v>744</v>
      </c>
      <c r="B8" s="1">
        <v>42011</v>
      </c>
      <c r="C8">
        <v>475</v>
      </c>
    </row>
    <row r="9" spans="1:3">
      <c r="A9">
        <v>756</v>
      </c>
      <c r="B9" s="1">
        <v>42011</v>
      </c>
      <c r="C9">
        <v>624</v>
      </c>
    </row>
    <row r="10" spans="1:3">
      <c r="A10">
        <v>768</v>
      </c>
      <c r="B10" s="1">
        <v>42011</v>
      </c>
      <c r="C10">
        <v>953</v>
      </c>
    </row>
    <row r="11" spans="1:3">
      <c r="A11">
        <v>769</v>
      </c>
      <c r="B11" s="1">
        <v>42011</v>
      </c>
      <c r="C11">
        <v>1000</v>
      </c>
    </row>
    <row r="12" spans="1:3">
      <c r="A12">
        <v>770</v>
      </c>
      <c r="B12" s="1">
        <v>42011</v>
      </c>
      <c r="C12">
        <v>1053</v>
      </c>
    </row>
    <row r="13" spans="1:3">
      <c r="A13">
        <v>771</v>
      </c>
      <c r="B13" s="1">
        <v>42011</v>
      </c>
      <c r="C13">
        <v>1111</v>
      </c>
    </row>
    <row r="14" spans="1:3">
      <c r="A14">
        <v>772</v>
      </c>
      <c r="B14" s="1">
        <v>42011</v>
      </c>
      <c r="C14">
        <v>1177</v>
      </c>
    </row>
    <row r="15" spans="1:3">
      <c r="A15">
        <v>773</v>
      </c>
      <c r="B15" s="1">
        <v>42011</v>
      </c>
      <c r="C15">
        <v>1251</v>
      </c>
    </row>
    <row r="16" spans="1:3">
      <c r="A16">
        <v>774</v>
      </c>
      <c r="B16" s="1">
        <v>42011</v>
      </c>
      <c r="C16">
        <v>1336</v>
      </c>
    </row>
    <row r="17" spans="1:3">
      <c r="A17">
        <v>775</v>
      </c>
      <c r="B17" s="1">
        <v>42011</v>
      </c>
      <c r="C17">
        <v>1434</v>
      </c>
    </row>
    <row r="18" spans="1:3">
      <c r="A18">
        <v>776</v>
      </c>
      <c r="B18" s="1">
        <v>42011</v>
      </c>
      <c r="C18">
        <v>1547</v>
      </c>
    </row>
    <row r="19" spans="1:3">
      <c r="A19">
        <v>777</v>
      </c>
      <c r="B19" s="1">
        <v>42011</v>
      </c>
      <c r="C19">
        <v>1681</v>
      </c>
    </row>
    <row r="20" spans="1:3">
      <c r="A20">
        <v>778</v>
      </c>
      <c r="B20" s="1">
        <v>42011</v>
      </c>
      <c r="C20">
        <v>1841</v>
      </c>
    </row>
    <row r="21" spans="1:3">
      <c r="A21">
        <v>779</v>
      </c>
      <c r="B21" s="1">
        <v>42011</v>
      </c>
      <c r="C21">
        <v>2036</v>
      </c>
    </row>
    <row r="22" spans="1:3">
      <c r="A22">
        <v>780</v>
      </c>
      <c r="B22" s="1">
        <v>42011</v>
      </c>
      <c r="C22">
        <v>2278</v>
      </c>
    </row>
    <row r="23" spans="1:3">
      <c r="A23">
        <v>781</v>
      </c>
      <c r="B23" s="1">
        <v>42011</v>
      </c>
      <c r="C23">
        <v>2597</v>
      </c>
    </row>
    <row r="24" spans="1:3">
      <c r="A24">
        <v>782</v>
      </c>
      <c r="B24" s="1">
        <v>42011</v>
      </c>
      <c r="C24">
        <v>3022</v>
      </c>
    </row>
    <row r="25" spans="1:3">
      <c r="A25">
        <v>783</v>
      </c>
      <c r="B25" s="1">
        <v>42011</v>
      </c>
      <c r="C25">
        <v>3617</v>
      </c>
    </row>
    <row r="26" spans="1:3">
      <c r="A26">
        <v>784</v>
      </c>
      <c r="B26" s="1">
        <v>42011</v>
      </c>
      <c r="C26">
        <v>4510</v>
      </c>
    </row>
    <row r="27" spans="1:3">
      <c r="A27">
        <v>785</v>
      </c>
      <c r="B27" s="1">
        <v>42011</v>
      </c>
      <c r="C27">
        <v>5998</v>
      </c>
    </row>
    <row r="28" spans="1:3">
      <c r="A28">
        <v>786</v>
      </c>
      <c r="B28" s="1">
        <v>42011</v>
      </c>
      <c r="C28">
        <v>8974</v>
      </c>
    </row>
    <row r="29" spans="1:3">
      <c r="A29">
        <v>787</v>
      </c>
      <c r="B29" s="1">
        <v>42011</v>
      </c>
      <c r="C29">
        <v>17903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C30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5.875" bestFit="1" customWidth="1"/>
  </cols>
  <sheetData>
    <row r="1" spans="1:3">
      <c r="A1">
        <v>660</v>
      </c>
      <c r="B1" s="1">
        <v>42011</v>
      </c>
      <c r="C1">
        <v>214</v>
      </c>
    </row>
    <row r="2" spans="1:3">
      <c r="A2">
        <v>672</v>
      </c>
      <c r="B2" s="1">
        <v>42011</v>
      </c>
      <c r="C2">
        <v>227</v>
      </c>
    </row>
    <row r="3" spans="1:3">
      <c r="A3">
        <v>684</v>
      </c>
      <c r="B3" s="1">
        <v>42011</v>
      </c>
      <c r="C3">
        <v>244</v>
      </c>
    </row>
    <row r="4" spans="1:3">
      <c r="A4">
        <v>696</v>
      </c>
      <c r="B4" s="1">
        <v>42011</v>
      </c>
      <c r="C4">
        <v>265</v>
      </c>
    </row>
    <row r="5" spans="1:3">
      <c r="A5">
        <v>708</v>
      </c>
      <c r="B5" s="1">
        <v>42011</v>
      </c>
      <c r="C5">
        <v>293</v>
      </c>
    </row>
    <row r="6" spans="1:3">
      <c r="A6">
        <v>720</v>
      </c>
      <c r="B6" s="1">
        <v>42011</v>
      </c>
      <c r="C6">
        <v>330</v>
      </c>
    </row>
    <row r="7" spans="1:3">
      <c r="A7">
        <v>732</v>
      </c>
      <c r="B7" s="1">
        <v>42011</v>
      </c>
      <c r="C7">
        <v>383</v>
      </c>
    </row>
    <row r="8" spans="1:3">
      <c r="A8">
        <v>744</v>
      </c>
      <c r="B8" s="1">
        <v>42011</v>
      </c>
      <c r="C8">
        <v>465</v>
      </c>
    </row>
    <row r="9" spans="1:3">
      <c r="A9">
        <v>756</v>
      </c>
      <c r="B9" s="1">
        <v>42011</v>
      </c>
      <c r="C9">
        <v>606</v>
      </c>
    </row>
    <row r="10" spans="1:3">
      <c r="A10">
        <v>768</v>
      </c>
      <c r="B10" s="1">
        <v>42011</v>
      </c>
      <c r="C10">
        <v>909</v>
      </c>
    </row>
    <row r="11" spans="1:3">
      <c r="A11">
        <v>769</v>
      </c>
      <c r="B11" s="1">
        <v>42011</v>
      </c>
      <c r="C11">
        <v>951</v>
      </c>
    </row>
    <row r="12" spans="1:3">
      <c r="A12">
        <v>770</v>
      </c>
      <c r="B12" s="1">
        <v>42011</v>
      </c>
      <c r="C12">
        <v>998</v>
      </c>
    </row>
    <row r="13" spans="1:3">
      <c r="A13">
        <v>771</v>
      </c>
      <c r="B13" s="1">
        <v>42011</v>
      </c>
      <c r="C13">
        <v>1050</v>
      </c>
    </row>
    <row r="14" spans="1:3">
      <c r="A14">
        <v>772</v>
      </c>
      <c r="B14" s="1">
        <v>42011</v>
      </c>
      <c r="C14">
        <v>1109</v>
      </c>
    </row>
    <row r="15" spans="1:3">
      <c r="A15">
        <v>773</v>
      </c>
      <c r="B15" s="1">
        <v>42011</v>
      </c>
      <c r="C15">
        <v>1174</v>
      </c>
    </row>
    <row r="16" spans="1:3">
      <c r="A16">
        <v>774</v>
      </c>
      <c r="B16" s="1">
        <v>42011</v>
      </c>
      <c r="C16">
        <v>1248</v>
      </c>
    </row>
    <row r="17" spans="1:3">
      <c r="A17">
        <v>775</v>
      </c>
      <c r="B17" s="1">
        <v>42011</v>
      </c>
      <c r="C17">
        <v>1332</v>
      </c>
    </row>
    <row r="18" spans="1:3">
      <c r="A18">
        <v>776</v>
      </c>
      <c r="B18" s="1">
        <v>42011</v>
      </c>
      <c r="C18">
        <v>1429</v>
      </c>
    </row>
    <row r="19" spans="1:3">
      <c r="A19">
        <v>777</v>
      </c>
      <c r="B19" s="1">
        <v>42011</v>
      </c>
      <c r="C19">
        <v>1541</v>
      </c>
    </row>
    <row r="20" spans="1:3">
      <c r="A20">
        <v>778</v>
      </c>
      <c r="B20" s="1">
        <v>42011</v>
      </c>
      <c r="C20">
        <v>1674</v>
      </c>
    </row>
    <row r="21" spans="1:3">
      <c r="A21">
        <v>779</v>
      </c>
      <c r="B21" s="1">
        <v>42011</v>
      </c>
      <c r="C21">
        <v>1832</v>
      </c>
    </row>
    <row r="22" spans="1:3">
      <c r="A22">
        <v>780</v>
      </c>
      <c r="B22" s="1">
        <v>42011</v>
      </c>
      <c r="C22">
        <v>2025</v>
      </c>
    </row>
    <row r="23" spans="1:3">
      <c r="A23">
        <v>781</v>
      </c>
      <c r="B23" s="1">
        <v>42011</v>
      </c>
      <c r="C23">
        <v>2272</v>
      </c>
    </row>
    <row r="24" spans="1:3">
      <c r="A24">
        <v>782</v>
      </c>
      <c r="B24" s="1">
        <v>42011</v>
      </c>
      <c r="C24">
        <v>2590</v>
      </c>
    </row>
    <row r="25" spans="1:3">
      <c r="A25">
        <v>783</v>
      </c>
      <c r="B25" s="1">
        <v>42011</v>
      </c>
      <c r="C25">
        <v>3014</v>
      </c>
    </row>
    <row r="26" spans="1:3">
      <c r="A26">
        <v>784</v>
      </c>
      <c r="B26" s="1">
        <v>42011</v>
      </c>
      <c r="C26">
        <v>3608</v>
      </c>
    </row>
    <row r="27" spans="1:3">
      <c r="A27">
        <v>785</v>
      </c>
      <c r="B27" s="1">
        <v>42011</v>
      </c>
      <c r="C27">
        <v>4499</v>
      </c>
    </row>
    <row r="28" spans="1:3">
      <c r="A28">
        <v>786</v>
      </c>
      <c r="B28" s="1">
        <v>42011</v>
      </c>
      <c r="C28">
        <v>5983</v>
      </c>
    </row>
    <row r="29" spans="1:3">
      <c r="A29">
        <v>787</v>
      </c>
      <c r="B29" s="1">
        <v>42011</v>
      </c>
      <c r="C29">
        <v>8951</v>
      </c>
    </row>
    <row r="30" spans="1:3">
      <c r="A30">
        <v>788</v>
      </c>
      <c r="B30" s="1">
        <v>42011</v>
      </c>
      <c r="C30">
        <v>17857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C31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5.875" bestFit="1" customWidth="1"/>
  </cols>
  <sheetData>
    <row r="1" spans="1:3">
      <c r="A1">
        <v>660</v>
      </c>
      <c r="B1" s="1">
        <v>42011</v>
      </c>
      <c r="C1">
        <v>212</v>
      </c>
    </row>
    <row r="2" spans="1:3">
      <c r="A2">
        <v>672</v>
      </c>
      <c r="B2" s="1">
        <v>42011</v>
      </c>
      <c r="C2">
        <v>226</v>
      </c>
    </row>
    <row r="3" spans="1:3">
      <c r="A3">
        <v>684</v>
      </c>
      <c r="B3" s="1">
        <v>42011</v>
      </c>
      <c r="C3">
        <v>242</v>
      </c>
    </row>
    <row r="4" spans="1:3">
      <c r="A4">
        <v>696</v>
      </c>
      <c r="B4" s="1">
        <v>42011</v>
      </c>
      <c r="C4">
        <v>263</v>
      </c>
    </row>
    <row r="5" spans="1:3">
      <c r="A5">
        <v>708</v>
      </c>
      <c r="B5" s="1">
        <v>42011</v>
      </c>
      <c r="C5">
        <v>290</v>
      </c>
    </row>
    <row r="6" spans="1:3">
      <c r="A6">
        <v>720</v>
      </c>
      <c r="B6" s="1">
        <v>42011</v>
      </c>
      <c r="C6">
        <v>326</v>
      </c>
    </row>
    <row r="7" spans="1:3">
      <c r="A7">
        <v>732</v>
      </c>
      <c r="B7" s="1">
        <v>42011</v>
      </c>
      <c r="C7">
        <v>377</v>
      </c>
    </row>
    <row r="8" spans="1:3">
      <c r="A8">
        <v>744</v>
      </c>
      <c r="B8" s="1">
        <v>42011</v>
      </c>
      <c r="C8">
        <v>455</v>
      </c>
    </row>
    <row r="9" spans="1:3">
      <c r="A9">
        <v>756</v>
      </c>
      <c r="B9" s="1">
        <v>42011</v>
      </c>
      <c r="C9">
        <v>589</v>
      </c>
    </row>
    <row r="10" spans="1:3">
      <c r="A10">
        <v>768</v>
      </c>
      <c r="B10" s="1">
        <v>42011</v>
      </c>
      <c r="C10">
        <v>868</v>
      </c>
    </row>
    <row r="11" spans="1:3">
      <c r="A11">
        <v>769</v>
      </c>
      <c r="B11" s="1">
        <v>42011</v>
      </c>
      <c r="C11">
        <v>907</v>
      </c>
    </row>
    <row r="12" spans="1:3">
      <c r="A12">
        <v>770</v>
      </c>
      <c r="B12" s="1">
        <v>42011</v>
      </c>
      <c r="C12">
        <v>949</v>
      </c>
    </row>
    <row r="13" spans="1:3">
      <c r="A13">
        <v>771</v>
      </c>
      <c r="B13" s="1">
        <v>42011</v>
      </c>
      <c r="C13">
        <v>996</v>
      </c>
    </row>
    <row r="14" spans="1:3">
      <c r="A14">
        <v>772</v>
      </c>
      <c r="B14" s="1">
        <v>42011</v>
      </c>
      <c r="C14">
        <v>1048</v>
      </c>
    </row>
    <row r="15" spans="1:3">
      <c r="A15">
        <v>773</v>
      </c>
      <c r="B15" s="1">
        <v>42011</v>
      </c>
      <c r="C15">
        <v>1105</v>
      </c>
    </row>
    <row r="16" spans="1:3">
      <c r="A16">
        <v>774</v>
      </c>
      <c r="B16" s="1">
        <v>42011</v>
      </c>
      <c r="C16">
        <v>1170</v>
      </c>
    </row>
    <row r="17" spans="1:3">
      <c r="A17">
        <v>775</v>
      </c>
      <c r="B17" s="1">
        <v>42011</v>
      </c>
      <c r="C17">
        <v>1244</v>
      </c>
    </row>
    <row r="18" spans="1:3">
      <c r="A18">
        <v>776</v>
      </c>
      <c r="B18" s="1">
        <v>42011</v>
      </c>
      <c r="C18">
        <v>1327</v>
      </c>
    </row>
    <row r="19" spans="1:3">
      <c r="A19">
        <v>777</v>
      </c>
      <c r="B19" s="1">
        <v>42011</v>
      </c>
      <c r="C19">
        <v>1423</v>
      </c>
    </row>
    <row r="20" spans="1:3">
      <c r="A20">
        <v>778</v>
      </c>
      <c r="B20" s="1">
        <v>42011</v>
      </c>
      <c r="C20">
        <v>1534</v>
      </c>
    </row>
    <row r="21" spans="1:3">
      <c r="A21">
        <v>779</v>
      </c>
      <c r="B21" s="1">
        <v>42011</v>
      </c>
      <c r="C21">
        <v>1666</v>
      </c>
    </row>
    <row r="22" spans="1:3">
      <c r="A22">
        <v>780</v>
      </c>
      <c r="B22" s="1">
        <v>42011</v>
      </c>
      <c r="C22">
        <v>1822</v>
      </c>
    </row>
    <row r="23" spans="1:3">
      <c r="A23">
        <v>781</v>
      </c>
      <c r="B23" s="1">
        <v>42011</v>
      </c>
      <c r="C23">
        <v>2020</v>
      </c>
    </row>
    <row r="24" spans="1:3">
      <c r="A24">
        <v>782</v>
      </c>
      <c r="B24" s="1">
        <v>42011</v>
      </c>
      <c r="C24">
        <v>2266</v>
      </c>
    </row>
    <row r="25" spans="1:3">
      <c r="A25">
        <v>783</v>
      </c>
      <c r="B25" s="1">
        <v>42011</v>
      </c>
      <c r="C25">
        <v>2584</v>
      </c>
    </row>
    <row r="26" spans="1:3">
      <c r="A26">
        <v>784</v>
      </c>
      <c r="B26" s="1">
        <v>42011</v>
      </c>
      <c r="C26">
        <v>3007</v>
      </c>
    </row>
    <row r="27" spans="1:3">
      <c r="A27">
        <v>785</v>
      </c>
      <c r="B27" s="1">
        <v>42011</v>
      </c>
      <c r="C27">
        <v>3599</v>
      </c>
    </row>
    <row r="28" spans="1:3">
      <c r="A28">
        <v>786</v>
      </c>
      <c r="B28" s="1">
        <v>42011</v>
      </c>
      <c r="C28">
        <v>4487</v>
      </c>
    </row>
    <row r="29" spans="1:3">
      <c r="A29">
        <v>787</v>
      </c>
      <c r="B29" s="1">
        <v>42011</v>
      </c>
      <c r="C29">
        <v>5968</v>
      </c>
    </row>
    <row r="30" spans="1:3">
      <c r="A30">
        <v>788</v>
      </c>
      <c r="B30" s="1">
        <v>42011</v>
      </c>
      <c r="C30">
        <v>8929</v>
      </c>
    </row>
    <row r="31" spans="1:3">
      <c r="A31">
        <v>789</v>
      </c>
      <c r="B31" s="1">
        <v>42011</v>
      </c>
      <c r="C31">
        <v>17812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C32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5.875" bestFit="1" customWidth="1"/>
  </cols>
  <sheetData>
    <row r="1" spans="1:3">
      <c r="A1">
        <v>660</v>
      </c>
      <c r="B1" s="1">
        <v>42011</v>
      </c>
      <c r="C1">
        <v>211</v>
      </c>
    </row>
    <row r="2" spans="1:3">
      <c r="A2">
        <v>672</v>
      </c>
      <c r="B2" s="1">
        <v>42011</v>
      </c>
      <c r="C2">
        <v>224</v>
      </c>
    </row>
    <row r="3" spans="1:3">
      <c r="A3">
        <v>684</v>
      </c>
      <c r="B3" s="1">
        <v>42011</v>
      </c>
      <c r="C3">
        <v>240</v>
      </c>
    </row>
    <row r="4" spans="1:3">
      <c r="A4">
        <v>696</v>
      </c>
      <c r="B4" s="1">
        <v>42011</v>
      </c>
      <c r="C4">
        <v>260</v>
      </c>
    </row>
    <row r="5" spans="1:3">
      <c r="A5">
        <v>708</v>
      </c>
      <c r="B5" s="1">
        <v>42011</v>
      </c>
      <c r="C5">
        <v>287</v>
      </c>
    </row>
    <row r="6" spans="1:3">
      <c r="A6">
        <v>720</v>
      </c>
      <c r="B6" s="1">
        <v>42011</v>
      </c>
      <c r="C6">
        <v>322</v>
      </c>
    </row>
    <row r="7" spans="1:3">
      <c r="A7">
        <v>732</v>
      </c>
      <c r="B7" s="1">
        <v>42011</v>
      </c>
      <c r="C7">
        <v>371</v>
      </c>
    </row>
    <row r="8" spans="1:3">
      <c r="A8">
        <v>744</v>
      </c>
      <c r="B8" s="1">
        <v>42011</v>
      </c>
      <c r="C8">
        <v>446</v>
      </c>
    </row>
    <row r="9" spans="1:3">
      <c r="A9">
        <v>756</v>
      </c>
      <c r="B9" s="1">
        <v>42011</v>
      </c>
      <c r="C9">
        <v>573</v>
      </c>
    </row>
    <row r="10" spans="1:3">
      <c r="A10">
        <v>768</v>
      </c>
      <c r="B10" s="1">
        <v>42011</v>
      </c>
      <c r="C10">
        <v>831</v>
      </c>
    </row>
    <row r="11" spans="1:3">
      <c r="A11">
        <v>769</v>
      </c>
      <c r="B11" s="1">
        <v>42011</v>
      </c>
      <c r="C11">
        <v>867</v>
      </c>
    </row>
    <row r="12" spans="1:3">
      <c r="A12">
        <v>770</v>
      </c>
      <c r="B12" s="1">
        <v>42011</v>
      </c>
      <c r="C12">
        <v>905</v>
      </c>
    </row>
    <row r="13" spans="1:3">
      <c r="A13">
        <v>771</v>
      </c>
      <c r="B13" s="1">
        <v>42011</v>
      </c>
      <c r="C13">
        <v>947</v>
      </c>
    </row>
    <row r="14" spans="1:3">
      <c r="A14">
        <v>772</v>
      </c>
      <c r="B14" s="1">
        <v>42011</v>
      </c>
      <c r="C14">
        <v>993</v>
      </c>
    </row>
    <row r="15" spans="1:3">
      <c r="A15">
        <v>773</v>
      </c>
      <c r="B15" s="1">
        <v>42011</v>
      </c>
      <c r="C15">
        <v>1045</v>
      </c>
    </row>
    <row r="16" spans="1:3">
      <c r="A16">
        <v>774</v>
      </c>
      <c r="B16" s="1">
        <v>42011</v>
      </c>
      <c r="C16">
        <v>1102</v>
      </c>
    </row>
    <row r="17" spans="1:3">
      <c r="A17">
        <v>775</v>
      </c>
      <c r="B17" s="1">
        <v>42011</v>
      </c>
      <c r="C17">
        <v>1166</v>
      </c>
    </row>
    <row r="18" spans="1:3">
      <c r="A18">
        <v>776</v>
      </c>
      <c r="B18" s="1">
        <v>42011</v>
      </c>
      <c r="C18">
        <v>1239</v>
      </c>
    </row>
    <row r="19" spans="1:3">
      <c r="A19">
        <v>777</v>
      </c>
      <c r="B19" s="1">
        <v>42011</v>
      </c>
      <c r="C19">
        <v>1322</v>
      </c>
    </row>
    <row r="20" spans="1:3">
      <c r="A20">
        <v>778</v>
      </c>
      <c r="B20" s="1">
        <v>42011</v>
      </c>
      <c r="C20">
        <v>1417</v>
      </c>
    </row>
    <row r="21" spans="1:3">
      <c r="A21">
        <v>779</v>
      </c>
      <c r="B21" s="1">
        <v>42011</v>
      </c>
      <c r="C21">
        <v>1527</v>
      </c>
    </row>
    <row r="22" spans="1:3">
      <c r="A22">
        <v>780</v>
      </c>
      <c r="B22" s="1">
        <v>42011</v>
      </c>
      <c r="C22">
        <v>1657</v>
      </c>
    </row>
    <row r="23" spans="1:3">
      <c r="A23">
        <v>781</v>
      </c>
      <c r="B23" s="1">
        <v>42011</v>
      </c>
      <c r="C23">
        <v>1818</v>
      </c>
    </row>
    <row r="24" spans="1:3">
      <c r="A24">
        <v>782</v>
      </c>
      <c r="B24" s="1">
        <v>42011</v>
      </c>
      <c r="C24">
        <v>2015</v>
      </c>
    </row>
    <row r="25" spans="1:3">
      <c r="A25">
        <v>783</v>
      </c>
      <c r="B25" s="1">
        <v>42011</v>
      </c>
      <c r="C25">
        <v>2261</v>
      </c>
    </row>
    <row r="26" spans="1:3">
      <c r="A26">
        <v>784</v>
      </c>
      <c r="B26" s="1">
        <v>42011</v>
      </c>
      <c r="C26">
        <v>2577</v>
      </c>
    </row>
    <row r="27" spans="1:3">
      <c r="A27">
        <v>785</v>
      </c>
      <c r="B27" s="1">
        <v>42011</v>
      </c>
      <c r="C27">
        <v>2999</v>
      </c>
    </row>
    <row r="28" spans="1:3">
      <c r="A28">
        <v>786</v>
      </c>
      <c r="B28" s="1">
        <v>42011</v>
      </c>
      <c r="C28">
        <v>3590</v>
      </c>
    </row>
    <row r="29" spans="1:3">
      <c r="A29">
        <v>787</v>
      </c>
      <c r="B29" s="1">
        <v>42011</v>
      </c>
      <c r="C29">
        <v>4476</v>
      </c>
    </row>
    <row r="30" spans="1:3">
      <c r="A30">
        <v>788</v>
      </c>
      <c r="B30" s="1">
        <v>42011</v>
      </c>
      <c r="C30">
        <v>5952</v>
      </c>
    </row>
    <row r="31" spans="1:3">
      <c r="A31">
        <v>789</v>
      </c>
      <c r="B31" s="1">
        <v>42011</v>
      </c>
      <c r="C31">
        <v>8906</v>
      </c>
    </row>
    <row r="32" spans="1:3">
      <c r="A32">
        <v>790</v>
      </c>
      <c r="B32" s="1">
        <v>42011</v>
      </c>
      <c r="C32">
        <v>17766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C33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5.875" bestFit="1" customWidth="1"/>
  </cols>
  <sheetData>
    <row r="1" spans="1:3">
      <c r="A1">
        <v>660</v>
      </c>
      <c r="B1" s="1">
        <v>42011</v>
      </c>
      <c r="C1">
        <v>210</v>
      </c>
    </row>
    <row r="2" spans="1:3">
      <c r="A2">
        <v>672</v>
      </c>
      <c r="B2" s="1">
        <v>42011</v>
      </c>
      <c r="C2">
        <v>222</v>
      </c>
    </row>
    <row r="3" spans="1:3">
      <c r="A3">
        <v>684</v>
      </c>
      <c r="B3" s="1">
        <v>42011</v>
      </c>
      <c r="C3">
        <v>238</v>
      </c>
    </row>
    <row r="4" spans="1:3">
      <c r="A4">
        <v>696</v>
      </c>
      <c r="B4" s="1">
        <v>42011</v>
      </c>
      <c r="C4">
        <v>258</v>
      </c>
    </row>
    <row r="5" spans="1:3">
      <c r="A5">
        <v>708</v>
      </c>
      <c r="B5" s="1">
        <v>42011</v>
      </c>
      <c r="C5">
        <v>284</v>
      </c>
    </row>
    <row r="6" spans="1:3">
      <c r="A6">
        <v>720</v>
      </c>
      <c r="B6" s="1">
        <v>42011</v>
      </c>
      <c r="C6">
        <v>318</v>
      </c>
    </row>
    <row r="7" spans="1:3">
      <c r="A7">
        <v>732</v>
      </c>
      <c r="B7" s="1">
        <v>42011</v>
      </c>
      <c r="C7">
        <v>366</v>
      </c>
    </row>
    <row r="8" spans="1:3">
      <c r="A8">
        <v>744</v>
      </c>
      <c r="B8" s="1">
        <v>42011</v>
      </c>
      <c r="C8">
        <v>437</v>
      </c>
    </row>
    <row r="9" spans="1:3">
      <c r="A9">
        <v>756</v>
      </c>
      <c r="B9" s="1">
        <v>42011</v>
      </c>
      <c r="C9">
        <v>557</v>
      </c>
    </row>
    <row r="10" spans="1:3">
      <c r="A10">
        <v>768</v>
      </c>
      <c r="B10" s="1">
        <v>42011</v>
      </c>
      <c r="C10">
        <v>798</v>
      </c>
    </row>
    <row r="11" spans="1:3">
      <c r="A11">
        <v>769</v>
      </c>
      <c r="B11" s="1">
        <v>42011</v>
      </c>
      <c r="C11">
        <v>830</v>
      </c>
    </row>
    <row r="12" spans="1:3">
      <c r="A12">
        <v>770</v>
      </c>
      <c r="B12" s="1">
        <v>42011</v>
      </c>
      <c r="C12">
        <v>864</v>
      </c>
    </row>
    <row r="13" spans="1:3">
      <c r="A13">
        <v>771</v>
      </c>
      <c r="B13" s="1">
        <v>42011</v>
      </c>
      <c r="C13">
        <v>902</v>
      </c>
    </row>
    <row r="14" spans="1:3">
      <c r="A14">
        <v>772</v>
      </c>
      <c r="B14" s="1">
        <v>42011</v>
      </c>
      <c r="C14">
        <v>944</v>
      </c>
    </row>
    <row r="15" spans="1:3">
      <c r="A15">
        <v>773</v>
      </c>
      <c r="B15" s="1">
        <v>42011</v>
      </c>
      <c r="C15">
        <v>990</v>
      </c>
    </row>
    <row r="16" spans="1:3">
      <c r="A16">
        <v>774</v>
      </c>
      <c r="B16" s="1">
        <v>42011</v>
      </c>
      <c r="C16">
        <v>1041</v>
      </c>
    </row>
    <row r="17" spans="1:3">
      <c r="A17">
        <v>775</v>
      </c>
      <c r="B17" s="1">
        <v>42011</v>
      </c>
      <c r="C17">
        <v>1098</v>
      </c>
    </row>
    <row r="18" spans="1:3">
      <c r="A18">
        <v>776</v>
      </c>
      <c r="B18" s="1">
        <v>42011</v>
      </c>
      <c r="C18">
        <v>1162</v>
      </c>
    </row>
    <row r="19" spans="1:3">
      <c r="A19">
        <v>777</v>
      </c>
      <c r="B19" s="1">
        <v>42011</v>
      </c>
      <c r="C19">
        <v>1234</v>
      </c>
    </row>
    <row r="20" spans="1:3">
      <c r="A20">
        <v>778</v>
      </c>
      <c r="B20" s="1">
        <v>42011</v>
      </c>
      <c r="C20">
        <v>1315</v>
      </c>
    </row>
    <row r="21" spans="1:3">
      <c r="A21">
        <v>779</v>
      </c>
      <c r="B21" s="1">
        <v>42011</v>
      </c>
      <c r="C21">
        <v>1409</v>
      </c>
    </row>
    <row r="22" spans="1:3">
      <c r="A22">
        <v>780</v>
      </c>
      <c r="B22" s="1">
        <v>42011</v>
      </c>
      <c r="C22">
        <v>1519</v>
      </c>
    </row>
    <row r="23" spans="1:3">
      <c r="A23">
        <v>781</v>
      </c>
      <c r="B23" s="1">
        <v>42011</v>
      </c>
      <c r="C23">
        <v>1652</v>
      </c>
    </row>
    <row r="24" spans="1:3">
      <c r="A24">
        <v>782</v>
      </c>
      <c r="B24" s="1">
        <v>42011</v>
      </c>
      <c r="C24">
        <v>1813</v>
      </c>
    </row>
    <row r="25" spans="1:3">
      <c r="A25">
        <v>783</v>
      </c>
      <c r="B25" s="1">
        <v>42011</v>
      </c>
      <c r="C25">
        <v>2009</v>
      </c>
    </row>
    <row r="26" spans="1:3">
      <c r="A26">
        <v>784</v>
      </c>
      <c r="B26" s="1">
        <v>42011</v>
      </c>
      <c r="C26">
        <v>2255</v>
      </c>
    </row>
    <row r="27" spans="1:3">
      <c r="A27">
        <v>785</v>
      </c>
      <c r="B27" s="1">
        <v>42011</v>
      </c>
      <c r="C27">
        <v>2571</v>
      </c>
    </row>
    <row r="28" spans="1:3">
      <c r="A28">
        <v>786</v>
      </c>
      <c r="B28" s="1">
        <v>42011</v>
      </c>
      <c r="C28">
        <v>2991</v>
      </c>
    </row>
    <row r="29" spans="1:3">
      <c r="A29">
        <v>787</v>
      </c>
      <c r="B29" s="1">
        <v>42011</v>
      </c>
      <c r="C29">
        <v>3581</v>
      </c>
    </row>
    <row r="30" spans="1:3">
      <c r="A30">
        <v>788</v>
      </c>
      <c r="B30" s="1">
        <v>42011</v>
      </c>
      <c r="C30">
        <v>4464</v>
      </c>
    </row>
    <row r="31" spans="1:3">
      <c r="A31">
        <v>789</v>
      </c>
      <c r="B31" s="1">
        <v>42011</v>
      </c>
      <c r="C31">
        <v>5937</v>
      </c>
    </row>
    <row r="32" spans="1:3">
      <c r="A32">
        <v>790</v>
      </c>
      <c r="B32" s="1">
        <v>42011</v>
      </c>
      <c r="C32">
        <v>8883</v>
      </c>
    </row>
    <row r="33" spans="1:3">
      <c r="A33">
        <v>791</v>
      </c>
      <c r="B33" s="1">
        <v>42011</v>
      </c>
      <c r="C33">
        <v>17720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C34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5.875" bestFit="1" customWidth="1"/>
  </cols>
  <sheetData>
    <row r="1" spans="1:3">
      <c r="A1">
        <v>660</v>
      </c>
      <c r="B1" s="1">
        <v>42011</v>
      </c>
      <c r="C1">
        <v>208</v>
      </c>
    </row>
    <row r="2" spans="1:3">
      <c r="A2">
        <v>672</v>
      </c>
      <c r="B2" s="1">
        <v>42011</v>
      </c>
      <c r="C2">
        <v>221</v>
      </c>
    </row>
    <row r="3" spans="1:3">
      <c r="A3">
        <v>684</v>
      </c>
      <c r="B3" s="1">
        <v>42011</v>
      </c>
      <c r="C3">
        <v>237</v>
      </c>
    </row>
    <row r="4" spans="1:3">
      <c r="A4">
        <v>696</v>
      </c>
      <c r="B4" s="1">
        <v>42011</v>
      </c>
      <c r="C4">
        <v>256</v>
      </c>
    </row>
    <row r="5" spans="1:3">
      <c r="A5">
        <v>708</v>
      </c>
      <c r="B5" s="1">
        <v>42011</v>
      </c>
      <c r="C5">
        <v>281</v>
      </c>
    </row>
    <row r="6" spans="1:3">
      <c r="A6">
        <v>720</v>
      </c>
      <c r="B6" s="1">
        <v>42011</v>
      </c>
      <c r="C6">
        <v>314</v>
      </c>
    </row>
    <row r="7" spans="1:3">
      <c r="A7">
        <v>732</v>
      </c>
      <c r="B7" s="1">
        <v>42011</v>
      </c>
      <c r="C7">
        <v>360</v>
      </c>
    </row>
    <row r="8" spans="1:3">
      <c r="A8">
        <v>744</v>
      </c>
      <c r="B8" s="1">
        <v>42011</v>
      </c>
      <c r="C8">
        <v>429</v>
      </c>
    </row>
    <row r="9" spans="1:3">
      <c r="A9">
        <v>756</v>
      </c>
      <c r="B9" s="1">
        <v>42011</v>
      </c>
      <c r="C9">
        <v>544</v>
      </c>
    </row>
    <row r="10" spans="1:3">
      <c r="A10">
        <v>768</v>
      </c>
      <c r="B10" s="1">
        <v>42011</v>
      </c>
      <c r="C10">
        <v>768</v>
      </c>
    </row>
    <row r="11" spans="1:3">
      <c r="A11">
        <v>769</v>
      </c>
      <c r="B11" s="1">
        <v>42011</v>
      </c>
      <c r="C11">
        <v>797</v>
      </c>
    </row>
    <row r="12" spans="1:3">
      <c r="A12">
        <v>770</v>
      </c>
      <c r="B12" s="1">
        <v>42011</v>
      </c>
      <c r="C12">
        <v>829</v>
      </c>
    </row>
    <row r="13" spans="1:3">
      <c r="A13">
        <v>771</v>
      </c>
      <c r="B13" s="1">
        <v>42011</v>
      </c>
      <c r="C13">
        <v>863</v>
      </c>
    </row>
    <row r="14" spans="1:3">
      <c r="A14">
        <v>772</v>
      </c>
      <c r="B14" s="1">
        <v>42011</v>
      </c>
      <c r="C14">
        <v>901</v>
      </c>
    </row>
    <row r="15" spans="1:3">
      <c r="A15">
        <v>773</v>
      </c>
      <c r="B15" s="1">
        <v>42011</v>
      </c>
      <c r="C15">
        <v>943</v>
      </c>
    </row>
    <row r="16" spans="1:3">
      <c r="A16">
        <v>774</v>
      </c>
      <c r="B16" s="1">
        <v>42011</v>
      </c>
      <c r="C16">
        <v>989</v>
      </c>
    </row>
    <row r="17" spans="1:3">
      <c r="A17">
        <v>775</v>
      </c>
      <c r="B17" s="1">
        <v>42011</v>
      </c>
      <c r="C17">
        <v>1040</v>
      </c>
    </row>
    <row r="18" spans="1:3">
      <c r="A18">
        <v>776</v>
      </c>
      <c r="B18" s="1">
        <v>42011</v>
      </c>
      <c r="C18">
        <v>1096</v>
      </c>
    </row>
    <row r="19" spans="1:3">
      <c r="A19">
        <v>777</v>
      </c>
      <c r="B19" s="1">
        <v>42011</v>
      </c>
      <c r="C19">
        <v>1160</v>
      </c>
    </row>
    <row r="20" spans="1:3">
      <c r="A20">
        <v>778</v>
      </c>
      <c r="B20" s="1">
        <v>42011</v>
      </c>
      <c r="C20">
        <v>1231</v>
      </c>
    </row>
    <row r="21" spans="1:3">
      <c r="A21">
        <v>779</v>
      </c>
      <c r="B21" s="1">
        <v>42011</v>
      </c>
      <c r="C21">
        <v>1313</v>
      </c>
    </row>
    <row r="22" spans="1:3">
      <c r="A22">
        <v>780</v>
      </c>
      <c r="B22" s="1">
        <v>42011</v>
      </c>
      <c r="C22">
        <v>1406</v>
      </c>
    </row>
    <row r="23" spans="1:3">
      <c r="A23">
        <v>781</v>
      </c>
      <c r="B23" s="1">
        <v>42011</v>
      </c>
      <c r="C23">
        <v>1520</v>
      </c>
    </row>
    <row r="24" spans="1:3">
      <c r="A24">
        <v>782</v>
      </c>
      <c r="B24" s="1">
        <v>42011</v>
      </c>
      <c r="C24">
        <v>1653</v>
      </c>
    </row>
    <row r="25" spans="1:3">
      <c r="A25">
        <v>783</v>
      </c>
      <c r="B25" s="1">
        <v>42011</v>
      </c>
      <c r="C25">
        <v>1814</v>
      </c>
    </row>
    <row r="26" spans="1:3">
      <c r="A26">
        <v>784</v>
      </c>
      <c r="B26" s="1">
        <v>42011</v>
      </c>
      <c r="C26">
        <v>2011</v>
      </c>
    </row>
    <row r="27" spans="1:3">
      <c r="A27">
        <v>785</v>
      </c>
      <c r="B27" s="1">
        <v>42011</v>
      </c>
      <c r="C27">
        <v>2256</v>
      </c>
    </row>
    <row r="28" spans="1:3">
      <c r="A28">
        <v>786</v>
      </c>
      <c r="B28" s="1">
        <v>42011</v>
      </c>
      <c r="C28">
        <v>2572</v>
      </c>
    </row>
    <row r="29" spans="1:3">
      <c r="A29">
        <v>787</v>
      </c>
      <c r="B29" s="1">
        <v>42011</v>
      </c>
      <c r="C29">
        <v>2993</v>
      </c>
    </row>
    <row r="30" spans="1:3">
      <c r="A30">
        <v>788</v>
      </c>
      <c r="B30" s="1">
        <v>42011</v>
      </c>
      <c r="C30">
        <v>3582</v>
      </c>
    </row>
    <row r="31" spans="1:3">
      <c r="A31">
        <v>789</v>
      </c>
      <c r="B31" s="1">
        <v>42011</v>
      </c>
      <c r="C31">
        <v>4465</v>
      </c>
    </row>
    <row r="32" spans="1:3">
      <c r="A32">
        <v>790</v>
      </c>
      <c r="B32" s="1">
        <v>42011</v>
      </c>
      <c r="C32">
        <v>5936</v>
      </c>
    </row>
    <row r="33" spans="1:3">
      <c r="A33">
        <v>791</v>
      </c>
      <c r="B33" s="1">
        <v>42011</v>
      </c>
      <c r="C33">
        <v>8877</v>
      </c>
    </row>
    <row r="34" spans="1:3">
      <c r="A34">
        <v>792</v>
      </c>
      <c r="B34" s="1">
        <v>42011</v>
      </c>
      <c r="C34">
        <v>17682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C35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5.875" bestFit="1" customWidth="1"/>
  </cols>
  <sheetData>
    <row r="1" spans="1:3">
      <c r="A1">
        <v>660</v>
      </c>
      <c r="B1" s="1">
        <v>42011</v>
      </c>
      <c r="C1">
        <v>207</v>
      </c>
    </row>
    <row r="2" spans="1:3">
      <c r="A2">
        <v>672</v>
      </c>
      <c r="B2" s="1">
        <v>42011</v>
      </c>
      <c r="C2">
        <v>220</v>
      </c>
    </row>
    <row r="3" spans="1:3">
      <c r="A3">
        <v>684</v>
      </c>
      <c r="B3" s="1">
        <v>42011</v>
      </c>
      <c r="C3">
        <v>235</v>
      </c>
    </row>
    <row r="4" spans="1:3">
      <c r="A4">
        <v>696</v>
      </c>
      <c r="B4" s="1">
        <v>42011</v>
      </c>
      <c r="C4">
        <v>254</v>
      </c>
    </row>
    <row r="5" spans="1:3">
      <c r="A5">
        <v>708</v>
      </c>
      <c r="B5" s="1">
        <v>42011</v>
      </c>
      <c r="C5">
        <v>278</v>
      </c>
    </row>
    <row r="6" spans="1:3">
      <c r="A6">
        <v>720</v>
      </c>
      <c r="B6" s="1">
        <v>42011</v>
      </c>
      <c r="C6">
        <v>310</v>
      </c>
    </row>
    <row r="7" spans="1:3">
      <c r="A7">
        <v>732</v>
      </c>
      <c r="B7" s="1">
        <v>42011</v>
      </c>
      <c r="C7">
        <v>355</v>
      </c>
    </row>
    <row r="8" spans="1:3">
      <c r="A8">
        <v>744</v>
      </c>
      <c r="B8" s="1">
        <v>42011</v>
      </c>
      <c r="C8">
        <v>422</v>
      </c>
    </row>
    <row r="9" spans="1:3">
      <c r="A9">
        <v>756</v>
      </c>
      <c r="B9" s="1">
        <v>42011</v>
      </c>
      <c r="C9">
        <v>530</v>
      </c>
    </row>
    <row r="10" spans="1:3">
      <c r="A10">
        <v>768</v>
      </c>
      <c r="B10" s="1">
        <v>42011</v>
      </c>
      <c r="C10">
        <v>740</v>
      </c>
    </row>
    <row r="11" spans="1:3">
      <c r="A11">
        <v>769</v>
      </c>
      <c r="B11" s="1">
        <v>42011</v>
      </c>
      <c r="C11">
        <v>767</v>
      </c>
    </row>
    <row r="12" spans="1:3">
      <c r="A12">
        <v>770</v>
      </c>
      <c r="B12" s="1">
        <v>42011</v>
      </c>
      <c r="C12">
        <v>796</v>
      </c>
    </row>
    <row r="13" spans="1:3">
      <c r="A13">
        <v>771</v>
      </c>
      <c r="B13" s="1">
        <v>42011</v>
      </c>
      <c r="C13">
        <v>828</v>
      </c>
    </row>
    <row r="14" spans="1:3">
      <c r="A14">
        <v>772</v>
      </c>
      <c r="B14" s="1">
        <v>42011</v>
      </c>
      <c r="C14">
        <v>862</v>
      </c>
    </row>
    <row r="15" spans="1:3">
      <c r="A15">
        <v>773</v>
      </c>
      <c r="B15" s="1">
        <v>42011</v>
      </c>
      <c r="C15">
        <v>900</v>
      </c>
    </row>
    <row r="16" spans="1:3">
      <c r="A16">
        <v>774</v>
      </c>
      <c r="B16" s="1">
        <v>42011</v>
      </c>
      <c r="C16">
        <v>942</v>
      </c>
    </row>
    <row r="17" spans="1:3">
      <c r="A17">
        <v>775</v>
      </c>
      <c r="B17" s="1">
        <v>42011</v>
      </c>
      <c r="C17">
        <v>987</v>
      </c>
    </row>
    <row r="18" spans="1:3">
      <c r="A18">
        <v>776</v>
      </c>
      <c r="B18" s="1">
        <v>42011</v>
      </c>
      <c r="C18">
        <v>1038</v>
      </c>
    </row>
    <row r="19" spans="1:3">
      <c r="A19">
        <v>777</v>
      </c>
      <c r="B19" s="1">
        <v>42011</v>
      </c>
      <c r="C19">
        <v>1094</v>
      </c>
    </row>
    <row r="20" spans="1:3">
      <c r="A20">
        <v>778</v>
      </c>
      <c r="B20" s="1">
        <v>42011</v>
      </c>
      <c r="C20">
        <v>1157</v>
      </c>
    </row>
    <row r="21" spans="1:3">
      <c r="A21">
        <v>779</v>
      </c>
      <c r="B21" s="1">
        <v>42011</v>
      </c>
      <c r="C21">
        <v>1228</v>
      </c>
    </row>
    <row r="22" spans="1:3">
      <c r="A22">
        <v>780</v>
      </c>
      <c r="B22" s="1">
        <v>42011</v>
      </c>
      <c r="C22">
        <v>1309</v>
      </c>
    </row>
    <row r="23" spans="1:3">
      <c r="A23">
        <v>781</v>
      </c>
      <c r="B23" s="1">
        <v>42011</v>
      </c>
      <c r="C23">
        <v>1406</v>
      </c>
    </row>
    <row r="24" spans="1:3">
      <c r="A24">
        <v>782</v>
      </c>
      <c r="B24" s="1">
        <v>42011</v>
      </c>
      <c r="C24">
        <v>1520</v>
      </c>
    </row>
    <row r="25" spans="1:3">
      <c r="A25">
        <v>783</v>
      </c>
      <c r="B25" s="1">
        <v>42011</v>
      </c>
      <c r="C25">
        <v>1653</v>
      </c>
    </row>
    <row r="26" spans="1:3">
      <c r="A26">
        <v>784</v>
      </c>
      <c r="B26" s="1">
        <v>42011</v>
      </c>
      <c r="C26">
        <v>1814</v>
      </c>
    </row>
    <row r="27" spans="1:3">
      <c r="A27">
        <v>785</v>
      </c>
      <c r="B27" s="1">
        <v>42011</v>
      </c>
      <c r="C27">
        <v>2010</v>
      </c>
    </row>
    <row r="28" spans="1:3">
      <c r="A28">
        <v>786</v>
      </c>
      <c r="B28" s="1">
        <v>42011</v>
      </c>
      <c r="C28">
        <v>2255</v>
      </c>
    </row>
    <row r="29" spans="1:3">
      <c r="A29">
        <v>787</v>
      </c>
      <c r="B29" s="1">
        <v>42011</v>
      </c>
      <c r="C29">
        <v>2570</v>
      </c>
    </row>
    <row r="30" spans="1:3">
      <c r="A30">
        <v>788</v>
      </c>
      <c r="B30" s="1">
        <v>42011</v>
      </c>
      <c r="C30">
        <v>2990</v>
      </c>
    </row>
    <row r="31" spans="1:3">
      <c r="A31">
        <v>789</v>
      </c>
      <c r="B31" s="1">
        <v>42011</v>
      </c>
      <c r="C31">
        <v>3578</v>
      </c>
    </row>
    <row r="32" spans="1:3">
      <c r="A32">
        <v>790</v>
      </c>
      <c r="B32" s="1">
        <v>42011</v>
      </c>
      <c r="C32">
        <v>4458</v>
      </c>
    </row>
    <row r="33" spans="1:3">
      <c r="A33">
        <v>791</v>
      </c>
      <c r="B33" s="1">
        <v>42011</v>
      </c>
      <c r="C33">
        <v>5922</v>
      </c>
    </row>
    <row r="34" spans="1:3">
      <c r="A34">
        <v>792</v>
      </c>
      <c r="B34" s="1">
        <v>42011</v>
      </c>
      <c r="C34">
        <v>8841</v>
      </c>
    </row>
    <row r="35" spans="1:3">
      <c r="A35">
        <v>793</v>
      </c>
      <c r="B35" s="1">
        <v>42011</v>
      </c>
      <c r="C35">
        <v>17635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C36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5.875" bestFit="1" customWidth="1"/>
  </cols>
  <sheetData>
    <row r="1" spans="1:3">
      <c r="A1">
        <v>660</v>
      </c>
      <c r="B1" s="1">
        <v>42011</v>
      </c>
      <c r="C1">
        <v>206</v>
      </c>
    </row>
    <row r="2" spans="1:3">
      <c r="A2">
        <v>672</v>
      </c>
      <c r="B2" s="1">
        <v>42011</v>
      </c>
      <c r="C2">
        <v>218</v>
      </c>
    </row>
    <row r="3" spans="1:3">
      <c r="A3">
        <v>684</v>
      </c>
      <c r="B3" s="1">
        <v>42011</v>
      </c>
      <c r="C3">
        <v>233</v>
      </c>
    </row>
    <row r="4" spans="1:3">
      <c r="A4">
        <v>696</v>
      </c>
      <c r="B4" s="1">
        <v>42011</v>
      </c>
      <c r="C4">
        <v>252</v>
      </c>
    </row>
    <row r="5" spans="1:3">
      <c r="A5">
        <v>708</v>
      </c>
      <c r="B5" s="1">
        <v>42011</v>
      </c>
      <c r="C5">
        <v>275</v>
      </c>
    </row>
    <row r="6" spans="1:3">
      <c r="A6">
        <v>720</v>
      </c>
      <c r="B6" s="1">
        <v>42011</v>
      </c>
      <c r="C6">
        <v>307</v>
      </c>
    </row>
    <row r="7" spans="1:3">
      <c r="A7">
        <v>732</v>
      </c>
      <c r="B7" s="1">
        <v>42011</v>
      </c>
      <c r="C7">
        <v>350</v>
      </c>
    </row>
    <row r="8" spans="1:3">
      <c r="A8">
        <v>744</v>
      </c>
      <c r="B8" s="1">
        <v>42011</v>
      </c>
      <c r="C8">
        <v>414</v>
      </c>
    </row>
    <row r="9" spans="1:3">
      <c r="A9">
        <v>756</v>
      </c>
      <c r="B9" s="1">
        <v>42011</v>
      </c>
      <c r="C9">
        <v>518</v>
      </c>
    </row>
    <row r="10" spans="1:3">
      <c r="A10">
        <v>768</v>
      </c>
      <c r="B10" s="1">
        <v>42011</v>
      </c>
      <c r="C10">
        <v>714</v>
      </c>
    </row>
    <row r="11" spans="1:3">
      <c r="A11">
        <v>769</v>
      </c>
      <c r="B11" s="1">
        <v>42011</v>
      </c>
      <c r="C11">
        <v>739</v>
      </c>
    </row>
    <row r="12" spans="1:3">
      <c r="A12">
        <v>770</v>
      </c>
      <c r="B12" s="1">
        <v>42011</v>
      </c>
      <c r="C12">
        <v>766</v>
      </c>
    </row>
    <row r="13" spans="1:3">
      <c r="A13">
        <v>771</v>
      </c>
      <c r="B13" s="1">
        <v>42011</v>
      </c>
      <c r="C13">
        <v>795</v>
      </c>
    </row>
    <row r="14" spans="1:3">
      <c r="A14">
        <v>772</v>
      </c>
      <c r="B14" s="1">
        <v>42011</v>
      </c>
      <c r="C14">
        <v>827</v>
      </c>
    </row>
    <row r="15" spans="1:3">
      <c r="A15">
        <v>773</v>
      </c>
      <c r="B15" s="1">
        <v>42011</v>
      </c>
      <c r="C15">
        <v>861</v>
      </c>
    </row>
    <row r="16" spans="1:3">
      <c r="A16">
        <v>774</v>
      </c>
      <c r="B16" s="1">
        <v>42011</v>
      </c>
      <c r="C16">
        <v>899</v>
      </c>
    </row>
    <row r="17" spans="1:3">
      <c r="A17">
        <v>775</v>
      </c>
      <c r="B17" s="1">
        <v>42011</v>
      </c>
      <c r="C17">
        <v>940</v>
      </c>
    </row>
    <row r="18" spans="1:3">
      <c r="A18">
        <v>776</v>
      </c>
      <c r="B18" s="1">
        <v>42011</v>
      </c>
      <c r="C18">
        <v>985</v>
      </c>
    </row>
    <row r="19" spans="1:3">
      <c r="A19">
        <v>777</v>
      </c>
      <c r="B19" s="1">
        <v>42011</v>
      </c>
      <c r="C19">
        <v>1035</v>
      </c>
    </row>
    <row r="20" spans="1:3">
      <c r="A20">
        <v>778</v>
      </c>
      <c r="B20" s="1">
        <v>42011</v>
      </c>
      <c r="C20">
        <v>1091</v>
      </c>
    </row>
    <row r="21" spans="1:3">
      <c r="A21">
        <v>779</v>
      </c>
      <c r="B21" s="1">
        <v>42011</v>
      </c>
      <c r="C21">
        <v>1154</v>
      </c>
    </row>
    <row r="22" spans="1:3">
      <c r="A22">
        <v>780</v>
      </c>
      <c r="B22" s="1">
        <v>42011</v>
      </c>
      <c r="C22">
        <v>1225</v>
      </c>
    </row>
    <row r="23" spans="1:3">
      <c r="A23">
        <v>781</v>
      </c>
      <c r="B23" s="1">
        <v>42011</v>
      </c>
      <c r="C23">
        <v>1309</v>
      </c>
    </row>
    <row r="24" spans="1:3">
      <c r="A24">
        <v>782</v>
      </c>
      <c r="B24" s="1">
        <v>42011</v>
      </c>
      <c r="C24">
        <v>1406</v>
      </c>
    </row>
    <row r="25" spans="1:3">
      <c r="A25">
        <v>783</v>
      </c>
      <c r="B25" s="1">
        <v>42011</v>
      </c>
      <c r="C25">
        <v>1519</v>
      </c>
    </row>
    <row r="26" spans="1:3">
      <c r="A26">
        <v>784</v>
      </c>
      <c r="B26" s="1">
        <v>42011</v>
      </c>
      <c r="C26">
        <v>1652</v>
      </c>
    </row>
    <row r="27" spans="1:3">
      <c r="A27">
        <v>785</v>
      </c>
      <c r="B27" s="1">
        <v>42011</v>
      </c>
      <c r="C27">
        <v>1813</v>
      </c>
    </row>
    <row r="28" spans="1:3">
      <c r="A28">
        <v>786</v>
      </c>
      <c r="B28" s="1">
        <v>42011</v>
      </c>
      <c r="C28">
        <v>2008</v>
      </c>
    </row>
    <row r="29" spans="1:3">
      <c r="A29">
        <v>787</v>
      </c>
      <c r="B29" s="1">
        <v>42011</v>
      </c>
      <c r="C29">
        <v>2253</v>
      </c>
    </row>
    <row r="30" spans="1:3">
      <c r="A30">
        <v>788</v>
      </c>
      <c r="B30" s="1">
        <v>42011</v>
      </c>
      <c r="C30">
        <v>2566</v>
      </c>
    </row>
    <row r="31" spans="1:3">
      <c r="A31">
        <v>789</v>
      </c>
      <c r="B31" s="1">
        <v>42011</v>
      </c>
      <c r="C31">
        <v>2984</v>
      </c>
    </row>
    <row r="32" spans="1:3">
      <c r="A32">
        <v>790</v>
      </c>
      <c r="B32" s="1">
        <v>42011</v>
      </c>
      <c r="C32">
        <v>3569</v>
      </c>
    </row>
    <row r="33" spans="1:3">
      <c r="A33">
        <v>791</v>
      </c>
      <c r="B33" s="1">
        <v>42011</v>
      </c>
      <c r="C33">
        <v>4443</v>
      </c>
    </row>
    <row r="34" spans="1:3">
      <c r="A34">
        <v>792</v>
      </c>
      <c r="B34" s="1">
        <v>42011</v>
      </c>
      <c r="C34">
        <v>5894</v>
      </c>
    </row>
    <row r="35" spans="1:3">
      <c r="A35">
        <v>793</v>
      </c>
      <c r="B35" s="1">
        <v>42011</v>
      </c>
      <c r="C35">
        <v>8818</v>
      </c>
    </row>
    <row r="36" spans="1:3">
      <c r="A36">
        <v>794</v>
      </c>
      <c r="B36" s="1">
        <v>42011</v>
      </c>
      <c r="C36">
        <v>17589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C37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5.875" bestFit="1" customWidth="1"/>
  </cols>
  <sheetData>
    <row r="1" spans="1:3">
      <c r="A1">
        <v>660</v>
      </c>
      <c r="B1" s="1">
        <v>42011</v>
      </c>
      <c r="C1">
        <v>205</v>
      </c>
    </row>
    <row r="2" spans="1:3">
      <c r="A2">
        <v>672</v>
      </c>
      <c r="B2" s="1">
        <v>42011</v>
      </c>
      <c r="C2">
        <v>217</v>
      </c>
    </row>
    <row r="3" spans="1:3">
      <c r="A3">
        <v>684</v>
      </c>
      <c r="B3" s="1">
        <v>42011</v>
      </c>
      <c r="C3">
        <v>231</v>
      </c>
    </row>
    <row r="4" spans="1:3">
      <c r="A4">
        <v>696</v>
      </c>
      <c r="B4" s="1">
        <v>42011</v>
      </c>
      <c r="C4">
        <v>249</v>
      </c>
    </row>
    <row r="5" spans="1:3">
      <c r="A5">
        <v>708</v>
      </c>
      <c r="B5" s="1">
        <v>42011</v>
      </c>
      <c r="C5">
        <v>273</v>
      </c>
    </row>
    <row r="6" spans="1:3">
      <c r="A6">
        <v>720</v>
      </c>
      <c r="B6" s="1">
        <v>42011</v>
      </c>
      <c r="C6">
        <v>303</v>
      </c>
    </row>
    <row r="7" spans="1:3">
      <c r="A7">
        <v>732</v>
      </c>
      <c r="B7" s="1">
        <v>42011</v>
      </c>
      <c r="C7">
        <v>345</v>
      </c>
    </row>
    <row r="8" spans="1:3">
      <c r="A8">
        <v>744</v>
      </c>
      <c r="B8" s="1">
        <v>42011</v>
      </c>
      <c r="C8">
        <v>407</v>
      </c>
    </row>
    <row r="9" spans="1:3">
      <c r="A9">
        <v>756</v>
      </c>
      <c r="B9" s="1">
        <v>42011</v>
      </c>
      <c r="C9">
        <v>506</v>
      </c>
    </row>
    <row r="10" spans="1:3">
      <c r="A10">
        <v>768</v>
      </c>
      <c r="B10" s="1">
        <v>42011</v>
      </c>
      <c r="C10">
        <v>690</v>
      </c>
    </row>
    <row r="11" spans="1:3">
      <c r="A11">
        <v>769</v>
      </c>
      <c r="B11" s="1">
        <v>42011</v>
      </c>
      <c r="C11">
        <v>713</v>
      </c>
    </row>
    <row r="12" spans="1:3">
      <c r="A12">
        <v>770</v>
      </c>
      <c r="B12" s="1">
        <v>42011</v>
      </c>
      <c r="C12">
        <v>738</v>
      </c>
    </row>
    <row r="13" spans="1:3">
      <c r="A13">
        <v>771</v>
      </c>
      <c r="B13" s="1">
        <v>42011</v>
      </c>
      <c r="C13">
        <v>765</v>
      </c>
    </row>
    <row r="14" spans="1:3">
      <c r="A14">
        <v>772</v>
      </c>
      <c r="B14" s="1">
        <v>42011</v>
      </c>
      <c r="C14">
        <v>794</v>
      </c>
    </row>
    <row r="15" spans="1:3">
      <c r="A15">
        <v>773</v>
      </c>
      <c r="B15" s="1">
        <v>42011</v>
      </c>
      <c r="C15">
        <v>825</v>
      </c>
    </row>
    <row r="16" spans="1:3">
      <c r="A16">
        <v>774</v>
      </c>
      <c r="B16" s="1">
        <v>42011</v>
      </c>
      <c r="C16">
        <v>859</v>
      </c>
    </row>
    <row r="17" spans="1:3">
      <c r="A17">
        <v>775</v>
      </c>
      <c r="B17" s="1">
        <v>42011</v>
      </c>
      <c r="C17">
        <v>897</v>
      </c>
    </row>
    <row r="18" spans="1:3">
      <c r="A18">
        <v>776</v>
      </c>
      <c r="B18" s="1">
        <v>42011</v>
      </c>
      <c r="C18">
        <v>938</v>
      </c>
    </row>
    <row r="19" spans="1:3">
      <c r="A19">
        <v>777</v>
      </c>
      <c r="B19" s="1">
        <v>42011</v>
      </c>
      <c r="C19">
        <v>983</v>
      </c>
    </row>
    <row r="20" spans="1:3">
      <c r="A20">
        <v>778</v>
      </c>
      <c r="B20" s="1">
        <v>42011</v>
      </c>
      <c r="C20">
        <v>1033</v>
      </c>
    </row>
    <row r="21" spans="1:3">
      <c r="A21">
        <v>779</v>
      </c>
      <c r="B21" s="1">
        <v>42011</v>
      </c>
      <c r="C21">
        <v>1089</v>
      </c>
    </row>
    <row r="22" spans="1:3">
      <c r="A22">
        <v>780</v>
      </c>
      <c r="B22" s="1">
        <v>42011</v>
      </c>
      <c r="C22">
        <v>1151</v>
      </c>
    </row>
    <row r="23" spans="1:3">
      <c r="A23">
        <v>781</v>
      </c>
      <c r="B23" s="1">
        <v>42011</v>
      </c>
      <c r="C23">
        <v>1224</v>
      </c>
    </row>
    <row r="24" spans="1:3">
      <c r="A24">
        <v>782</v>
      </c>
      <c r="B24" s="1">
        <v>42011</v>
      </c>
      <c r="C24">
        <v>1308</v>
      </c>
    </row>
    <row r="25" spans="1:3">
      <c r="A25">
        <v>783</v>
      </c>
      <c r="B25" s="1">
        <v>42011</v>
      </c>
      <c r="C25">
        <v>1405</v>
      </c>
    </row>
    <row r="26" spans="1:3">
      <c r="A26">
        <v>784</v>
      </c>
      <c r="B26" s="1">
        <v>42011</v>
      </c>
      <c r="C26">
        <v>1517</v>
      </c>
    </row>
    <row r="27" spans="1:3">
      <c r="A27">
        <v>785</v>
      </c>
      <c r="B27" s="1">
        <v>42011</v>
      </c>
      <c r="C27">
        <v>1650</v>
      </c>
    </row>
    <row r="28" spans="1:3">
      <c r="A28">
        <v>786</v>
      </c>
      <c r="B28" s="1">
        <v>42011</v>
      </c>
      <c r="C28">
        <v>1810</v>
      </c>
    </row>
    <row r="29" spans="1:3">
      <c r="A29">
        <v>787</v>
      </c>
      <c r="B29" s="1">
        <v>42011</v>
      </c>
      <c r="C29">
        <v>2005</v>
      </c>
    </row>
    <row r="30" spans="1:3">
      <c r="A30">
        <v>788</v>
      </c>
      <c r="B30" s="1">
        <v>42011</v>
      </c>
      <c r="C30">
        <v>2248</v>
      </c>
    </row>
    <row r="31" spans="1:3">
      <c r="A31">
        <v>789</v>
      </c>
      <c r="B31" s="1">
        <v>42011</v>
      </c>
      <c r="C31">
        <v>2560</v>
      </c>
    </row>
    <row r="32" spans="1:3">
      <c r="A32">
        <v>790</v>
      </c>
      <c r="B32" s="1">
        <v>42011</v>
      </c>
      <c r="C32">
        <v>2975</v>
      </c>
    </row>
    <row r="33" spans="1:3">
      <c r="A33">
        <v>791</v>
      </c>
      <c r="B33" s="1">
        <v>42011</v>
      </c>
      <c r="C33">
        <v>3555</v>
      </c>
    </row>
    <row r="34" spans="1:3">
      <c r="A34">
        <v>792</v>
      </c>
      <c r="B34" s="1">
        <v>42011</v>
      </c>
      <c r="C34">
        <v>4420</v>
      </c>
    </row>
    <row r="35" spans="1:3">
      <c r="A35">
        <v>793</v>
      </c>
      <c r="B35" s="1">
        <v>42011</v>
      </c>
      <c r="C35">
        <v>5878</v>
      </c>
    </row>
    <row r="36" spans="1:3">
      <c r="A36">
        <v>794</v>
      </c>
      <c r="B36" s="1">
        <v>42011</v>
      </c>
      <c r="C36">
        <v>8794</v>
      </c>
    </row>
    <row r="37" spans="1:3">
      <c r="A37">
        <v>795</v>
      </c>
      <c r="B37" s="1">
        <v>42011</v>
      </c>
      <c r="C37">
        <v>17543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C38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5.875" bestFit="1" customWidth="1"/>
  </cols>
  <sheetData>
    <row r="1" spans="1:3">
      <c r="A1">
        <v>660</v>
      </c>
      <c r="B1" s="1">
        <v>42011</v>
      </c>
      <c r="C1">
        <v>204</v>
      </c>
    </row>
    <row r="2" spans="1:3">
      <c r="A2">
        <v>672</v>
      </c>
      <c r="B2" s="1">
        <v>42011</v>
      </c>
      <c r="C2">
        <v>215</v>
      </c>
    </row>
    <row r="3" spans="1:3">
      <c r="A3">
        <v>684</v>
      </c>
      <c r="B3" s="1">
        <v>42011</v>
      </c>
      <c r="C3">
        <v>230</v>
      </c>
    </row>
    <row r="4" spans="1:3">
      <c r="A4">
        <v>696</v>
      </c>
      <c r="B4" s="1">
        <v>42011</v>
      </c>
      <c r="C4">
        <v>247</v>
      </c>
    </row>
    <row r="5" spans="1:3">
      <c r="A5">
        <v>708</v>
      </c>
      <c r="B5" s="1">
        <v>42011</v>
      </c>
      <c r="C5">
        <v>270</v>
      </c>
    </row>
    <row r="6" spans="1:3">
      <c r="A6">
        <v>720</v>
      </c>
      <c r="B6" s="1">
        <v>42011</v>
      </c>
      <c r="C6">
        <v>300</v>
      </c>
    </row>
    <row r="7" spans="1:3">
      <c r="A7">
        <v>732</v>
      </c>
      <c r="B7" s="1">
        <v>42011</v>
      </c>
      <c r="C7">
        <v>341</v>
      </c>
    </row>
    <row r="8" spans="1:3">
      <c r="A8">
        <v>744</v>
      </c>
      <c r="B8" s="1">
        <v>42011</v>
      </c>
      <c r="C8">
        <v>400</v>
      </c>
    </row>
    <row r="9" spans="1:3">
      <c r="A9">
        <v>756</v>
      </c>
      <c r="B9" s="1">
        <v>42011</v>
      </c>
      <c r="C9">
        <v>494</v>
      </c>
    </row>
    <row r="10" spans="1:3">
      <c r="A10">
        <v>768</v>
      </c>
      <c r="B10" s="1">
        <v>42011</v>
      </c>
      <c r="C10">
        <v>667</v>
      </c>
    </row>
    <row r="11" spans="1:3">
      <c r="A11">
        <v>769</v>
      </c>
      <c r="B11" s="1">
        <v>42011</v>
      </c>
      <c r="C11">
        <v>689</v>
      </c>
    </row>
    <row r="12" spans="1:3">
      <c r="A12">
        <v>770</v>
      </c>
      <c r="B12" s="1">
        <v>42011</v>
      </c>
      <c r="C12">
        <v>712</v>
      </c>
    </row>
    <row r="13" spans="1:3">
      <c r="A13">
        <v>771</v>
      </c>
      <c r="B13" s="1">
        <v>42011</v>
      </c>
      <c r="C13">
        <v>736</v>
      </c>
    </row>
    <row r="14" spans="1:3">
      <c r="A14">
        <v>772</v>
      </c>
      <c r="B14" s="1">
        <v>42011</v>
      </c>
      <c r="C14">
        <v>763</v>
      </c>
    </row>
    <row r="15" spans="1:3">
      <c r="A15">
        <v>773</v>
      </c>
      <c r="B15" s="1">
        <v>42011</v>
      </c>
      <c r="C15">
        <v>792</v>
      </c>
    </row>
    <row r="16" spans="1:3">
      <c r="A16">
        <v>774</v>
      </c>
      <c r="B16" s="1">
        <v>42011</v>
      </c>
      <c r="C16">
        <v>823</v>
      </c>
    </row>
    <row r="17" spans="1:3">
      <c r="A17">
        <v>775</v>
      </c>
      <c r="B17" s="1">
        <v>42011</v>
      </c>
      <c r="C17">
        <v>857</v>
      </c>
    </row>
    <row r="18" spans="1:3">
      <c r="A18">
        <v>776</v>
      </c>
      <c r="B18" s="1">
        <v>42011</v>
      </c>
      <c r="C18">
        <v>895</v>
      </c>
    </row>
    <row r="19" spans="1:3">
      <c r="A19">
        <v>777</v>
      </c>
      <c r="B19" s="1">
        <v>42011</v>
      </c>
      <c r="C19">
        <v>935</v>
      </c>
    </row>
    <row r="20" spans="1:3">
      <c r="A20">
        <v>778</v>
      </c>
      <c r="B20" s="1">
        <v>42011</v>
      </c>
      <c r="C20">
        <v>980</v>
      </c>
    </row>
    <row r="21" spans="1:3">
      <c r="A21">
        <v>779</v>
      </c>
      <c r="B21" s="1">
        <v>42011</v>
      </c>
      <c r="C21">
        <v>1030</v>
      </c>
    </row>
    <row r="22" spans="1:3">
      <c r="A22">
        <v>780</v>
      </c>
      <c r="B22" s="1">
        <v>42011</v>
      </c>
      <c r="C22">
        <v>1085</v>
      </c>
    </row>
    <row r="23" spans="1:3">
      <c r="A23">
        <v>781</v>
      </c>
      <c r="B23" s="1">
        <v>42011</v>
      </c>
      <c r="C23">
        <v>1150</v>
      </c>
    </row>
    <row r="24" spans="1:3">
      <c r="A24">
        <v>782</v>
      </c>
      <c r="B24" s="1">
        <v>42011</v>
      </c>
      <c r="C24">
        <v>1223</v>
      </c>
    </row>
    <row r="25" spans="1:3">
      <c r="A25">
        <v>783</v>
      </c>
      <c r="B25" s="1">
        <v>42011</v>
      </c>
      <c r="C25">
        <v>1306</v>
      </c>
    </row>
    <row r="26" spans="1:3">
      <c r="A26">
        <v>784</v>
      </c>
      <c r="B26" s="1">
        <v>42011</v>
      </c>
      <c r="C26">
        <v>1403</v>
      </c>
    </row>
    <row r="27" spans="1:3">
      <c r="A27">
        <v>785</v>
      </c>
      <c r="B27" s="1">
        <v>42011</v>
      </c>
      <c r="C27">
        <v>1515</v>
      </c>
    </row>
    <row r="28" spans="1:3">
      <c r="A28">
        <v>786</v>
      </c>
      <c r="B28" s="1">
        <v>42011</v>
      </c>
      <c r="C28">
        <v>1647</v>
      </c>
    </row>
    <row r="29" spans="1:3">
      <c r="A29">
        <v>787</v>
      </c>
      <c r="B29" s="1">
        <v>42011</v>
      </c>
      <c r="C29">
        <v>1806</v>
      </c>
    </row>
    <row r="30" spans="1:3">
      <c r="A30">
        <v>788</v>
      </c>
      <c r="B30" s="1">
        <v>42011</v>
      </c>
      <c r="C30">
        <v>2000</v>
      </c>
    </row>
    <row r="31" spans="1:3">
      <c r="A31">
        <v>789</v>
      </c>
      <c r="B31" s="1">
        <v>42011</v>
      </c>
      <c r="C31">
        <v>2241</v>
      </c>
    </row>
    <row r="32" spans="1:3">
      <c r="A32">
        <v>790</v>
      </c>
      <c r="B32" s="1">
        <v>42011</v>
      </c>
      <c r="C32">
        <v>2551</v>
      </c>
    </row>
    <row r="33" spans="1:3">
      <c r="A33">
        <v>791</v>
      </c>
      <c r="B33" s="1">
        <v>42011</v>
      </c>
      <c r="C33">
        <v>2963</v>
      </c>
    </row>
    <row r="34" spans="1:3">
      <c r="A34">
        <v>792</v>
      </c>
      <c r="B34" s="1">
        <v>42011</v>
      </c>
      <c r="C34">
        <v>3536</v>
      </c>
    </row>
    <row r="35" spans="1:3">
      <c r="A35">
        <v>793</v>
      </c>
      <c r="B35" s="1">
        <v>42011</v>
      </c>
      <c r="C35">
        <v>4409</v>
      </c>
    </row>
    <row r="36" spans="1:3">
      <c r="A36">
        <v>794</v>
      </c>
      <c r="B36" s="1">
        <v>42011</v>
      </c>
      <c r="C36">
        <v>5863</v>
      </c>
    </row>
    <row r="37" spans="1:3">
      <c r="A37">
        <v>795</v>
      </c>
      <c r="B37" s="1">
        <v>42011</v>
      </c>
      <c r="C37">
        <v>8771</v>
      </c>
    </row>
    <row r="38" spans="1:3">
      <c r="A38">
        <v>796</v>
      </c>
      <c r="B38" s="1">
        <v>42011</v>
      </c>
      <c r="C38">
        <v>17496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C39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5.875" bestFit="1" customWidth="1"/>
  </cols>
  <sheetData>
    <row r="1" spans="1:3">
      <c r="A1">
        <v>660</v>
      </c>
      <c r="B1" s="1">
        <v>42011</v>
      </c>
      <c r="C1">
        <v>202</v>
      </c>
    </row>
    <row r="2" spans="1:3">
      <c r="A2">
        <v>672</v>
      </c>
      <c r="B2" s="1">
        <v>42011</v>
      </c>
      <c r="C2">
        <v>214</v>
      </c>
    </row>
    <row r="3" spans="1:3">
      <c r="A3">
        <v>684</v>
      </c>
      <c r="B3" s="1">
        <v>42011</v>
      </c>
      <c r="C3">
        <v>228</v>
      </c>
    </row>
    <row r="4" spans="1:3">
      <c r="A4">
        <v>696</v>
      </c>
      <c r="B4" s="1">
        <v>42011</v>
      </c>
      <c r="C4">
        <v>245</v>
      </c>
    </row>
    <row r="5" spans="1:3">
      <c r="A5">
        <v>708</v>
      </c>
      <c r="B5" s="1">
        <v>42011</v>
      </c>
      <c r="C5">
        <v>267</v>
      </c>
    </row>
    <row r="6" spans="1:3">
      <c r="A6">
        <v>720</v>
      </c>
      <c r="B6" s="1">
        <v>42011</v>
      </c>
      <c r="C6">
        <v>296</v>
      </c>
    </row>
    <row r="7" spans="1:3">
      <c r="A7">
        <v>732</v>
      </c>
      <c r="B7" s="1">
        <v>42011</v>
      </c>
      <c r="C7">
        <v>336</v>
      </c>
    </row>
    <row r="8" spans="1:3">
      <c r="A8">
        <v>744</v>
      </c>
      <c r="B8" s="1">
        <v>42011</v>
      </c>
      <c r="C8">
        <v>393</v>
      </c>
    </row>
    <row r="9" spans="1:3">
      <c r="A9">
        <v>756</v>
      </c>
      <c r="B9" s="1">
        <v>42011</v>
      </c>
      <c r="C9">
        <v>483</v>
      </c>
    </row>
    <row r="10" spans="1:3">
      <c r="A10">
        <v>768</v>
      </c>
      <c r="B10" s="1">
        <v>42011</v>
      </c>
      <c r="C10">
        <v>646</v>
      </c>
    </row>
    <row r="11" spans="1:3">
      <c r="A11">
        <v>769</v>
      </c>
      <c r="B11" s="1">
        <v>42011</v>
      </c>
      <c r="C11">
        <v>666</v>
      </c>
    </row>
    <row r="12" spans="1:3">
      <c r="A12">
        <v>770</v>
      </c>
      <c r="B12" s="1">
        <v>42011</v>
      </c>
      <c r="C12">
        <v>687</v>
      </c>
    </row>
    <row r="13" spans="1:3">
      <c r="A13">
        <v>771</v>
      </c>
      <c r="B13" s="1">
        <v>42011</v>
      </c>
      <c r="C13">
        <v>710</v>
      </c>
    </row>
    <row r="14" spans="1:3">
      <c r="A14">
        <v>772</v>
      </c>
      <c r="B14" s="1">
        <v>42011</v>
      </c>
      <c r="C14">
        <v>735</v>
      </c>
    </row>
    <row r="15" spans="1:3">
      <c r="A15">
        <v>773</v>
      </c>
      <c r="B15" s="1">
        <v>42011</v>
      </c>
      <c r="C15">
        <v>762</v>
      </c>
    </row>
    <row r="16" spans="1:3">
      <c r="A16">
        <v>774</v>
      </c>
      <c r="B16" s="1">
        <v>42011</v>
      </c>
      <c r="C16">
        <v>790</v>
      </c>
    </row>
    <row r="17" spans="1:3">
      <c r="A17">
        <v>775</v>
      </c>
      <c r="B17" s="1">
        <v>42011</v>
      </c>
      <c r="C17">
        <v>821</v>
      </c>
    </row>
    <row r="18" spans="1:3">
      <c r="A18">
        <v>776</v>
      </c>
      <c r="B18" s="1">
        <v>42011</v>
      </c>
      <c r="C18">
        <v>855</v>
      </c>
    </row>
    <row r="19" spans="1:3">
      <c r="A19">
        <v>777</v>
      </c>
      <c r="B19" s="1">
        <v>42011</v>
      </c>
      <c r="C19">
        <v>892</v>
      </c>
    </row>
    <row r="20" spans="1:3">
      <c r="A20">
        <v>778</v>
      </c>
      <c r="B20" s="1">
        <v>42011</v>
      </c>
      <c r="C20">
        <v>933</v>
      </c>
    </row>
    <row r="21" spans="1:3">
      <c r="A21">
        <v>779</v>
      </c>
      <c r="B21" s="1">
        <v>42011</v>
      </c>
      <c r="C21">
        <v>977</v>
      </c>
    </row>
    <row r="22" spans="1:3">
      <c r="A22">
        <v>780</v>
      </c>
      <c r="B22" s="1">
        <v>42011</v>
      </c>
      <c r="C22">
        <v>1026</v>
      </c>
    </row>
    <row r="23" spans="1:3">
      <c r="A23">
        <v>781</v>
      </c>
      <c r="B23" s="1">
        <v>42011</v>
      </c>
      <c r="C23">
        <v>1084</v>
      </c>
    </row>
    <row r="24" spans="1:3">
      <c r="A24">
        <v>782</v>
      </c>
      <c r="B24" s="1">
        <v>42011</v>
      </c>
      <c r="C24">
        <v>1148</v>
      </c>
    </row>
    <row r="25" spans="1:3">
      <c r="A25">
        <v>783</v>
      </c>
      <c r="B25" s="1">
        <v>42011</v>
      </c>
      <c r="C25">
        <v>1221</v>
      </c>
    </row>
    <row r="26" spans="1:3">
      <c r="A26">
        <v>784</v>
      </c>
      <c r="B26" s="1">
        <v>42011</v>
      </c>
      <c r="C26">
        <v>1304</v>
      </c>
    </row>
    <row r="27" spans="1:3">
      <c r="A27">
        <v>785</v>
      </c>
      <c r="B27" s="1">
        <v>42011</v>
      </c>
      <c r="C27">
        <v>1400</v>
      </c>
    </row>
    <row r="28" spans="1:3">
      <c r="A28">
        <v>786</v>
      </c>
      <c r="B28" s="1">
        <v>42011</v>
      </c>
      <c r="C28">
        <v>1511</v>
      </c>
    </row>
    <row r="29" spans="1:3">
      <c r="A29">
        <v>787</v>
      </c>
      <c r="B29" s="1">
        <v>42011</v>
      </c>
      <c r="C29">
        <v>1643</v>
      </c>
    </row>
    <row r="30" spans="1:3">
      <c r="A30">
        <v>788</v>
      </c>
      <c r="B30" s="1">
        <v>42011</v>
      </c>
      <c r="C30">
        <v>1801</v>
      </c>
    </row>
    <row r="31" spans="1:3">
      <c r="A31">
        <v>789</v>
      </c>
      <c r="B31" s="1">
        <v>42011</v>
      </c>
      <c r="C31">
        <v>1993</v>
      </c>
    </row>
    <row r="32" spans="1:3">
      <c r="A32">
        <v>790</v>
      </c>
      <c r="B32" s="1">
        <v>42011</v>
      </c>
      <c r="C32">
        <v>2233</v>
      </c>
    </row>
    <row r="33" spans="1:3">
      <c r="A33">
        <v>791</v>
      </c>
      <c r="B33" s="1">
        <v>42011</v>
      </c>
      <c r="C33">
        <v>2540</v>
      </c>
    </row>
    <row r="34" spans="1:3">
      <c r="A34">
        <v>792</v>
      </c>
      <c r="B34" s="1">
        <v>42011</v>
      </c>
      <c r="C34">
        <v>2947</v>
      </c>
    </row>
    <row r="35" spans="1:3">
      <c r="A35">
        <v>793</v>
      </c>
      <c r="B35" s="1">
        <v>42011</v>
      </c>
      <c r="C35">
        <v>3527</v>
      </c>
    </row>
    <row r="36" spans="1:3">
      <c r="A36">
        <v>794</v>
      </c>
      <c r="B36" s="1">
        <v>42011</v>
      </c>
      <c r="C36">
        <v>4397</v>
      </c>
    </row>
    <row r="37" spans="1:3">
      <c r="A37">
        <v>795</v>
      </c>
      <c r="B37" s="1">
        <v>42011</v>
      </c>
      <c r="C37">
        <v>5848</v>
      </c>
    </row>
    <row r="38" spans="1:3">
      <c r="A38">
        <v>796</v>
      </c>
      <c r="B38" s="1">
        <v>42011</v>
      </c>
      <c r="C38">
        <v>8748</v>
      </c>
    </row>
    <row r="39" spans="1:3">
      <c r="A39">
        <v>797</v>
      </c>
      <c r="B39" s="1">
        <v>42011</v>
      </c>
      <c r="C39">
        <v>17450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C40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5.875" bestFit="1" customWidth="1"/>
  </cols>
  <sheetData>
    <row r="1" spans="1:3">
      <c r="A1">
        <v>660</v>
      </c>
      <c r="B1" s="1">
        <v>42011</v>
      </c>
      <c r="C1">
        <v>201</v>
      </c>
    </row>
    <row r="2" spans="1:3">
      <c r="A2">
        <v>672</v>
      </c>
      <c r="B2" s="1">
        <v>42011</v>
      </c>
      <c r="C2">
        <v>213</v>
      </c>
    </row>
    <row r="3" spans="1:3">
      <c r="A3">
        <v>684</v>
      </c>
      <c r="B3" s="1">
        <v>42011</v>
      </c>
      <c r="C3">
        <v>226</v>
      </c>
    </row>
    <row r="4" spans="1:3">
      <c r="A4">
        <v>696</v>
      </c>
      <c r="B4" s="1">
        <v>42011</v>
      </c>
      <c r="C4">
        <v>243</v>
      </c>
    </row>
    <row r="5" spans="1:3">
      <c r="A5">
        <v>708</v>
      </c>
      <c r="B5" s="1">
        <v>42011</v>
      </c>
      <c r="C5">
        <v>265</v>
      </c>
    </row>
    <row r="6" spans="1:3">
      <c r="A6">
        <v>720</v>
      </c>
      <c r="B6" s="1">
        <v>42011</v>
      </c>
      <c r="C6">
        <v>293</v>
      </c>
    </row>
    <row r="7" spans="1:3">
      <c r="A7">
        <v>732</v>
      </c>
      <c r="B7" s="1">
        <v>42011</v>
      </c>
      <c r="C7">
        <v>331</v>
      </c>
    </row>
    <row r="8" spans="1:3">
      <c r="A8">
        <v>744</v>
      </c>
      <c r="B8" s="1">
        <v>42011</v>
      </c>
      <c r="C8">
        <v>387</v>
      </c>
    </row>
    <row r="9" spans="1:3">
      <c r="A9">
        <v>756</v>
      </c>
      <c r="B9" s="1">
        <v>42011</v>
      </c>
      <c r="C9">
        <v>473</v>
      </c>
    </row>
    <row r="10" spans="1:3">
      <c r="A10">
        <v>768</v>
      </c>
      <c r="B10" s="1">
        <v>42011</v>
      </c>
      <c r="C10">
        <v>626</v>
      </c>
    </row>
    <row r="11" spans="1:3">
      <c r="A11">
        <v>769</v>
      </c>
      <c r="B11" s="1">
        <v>42011</v>
      </c>
      <c r="C11">
        <v>645</v>
      </c>
    </row>
    <row r="12" spans="1:3">
      <c r="A12">
        <v>770</v>
      </c>
      <c r="B12" s="1">
        <v>42011</v>
      </c>
      <c r="C12">
        <v>665</v>
      </c>
    </row>
    <row r="13" spans="1:3">
      <c r="A13">
        <v>771</v>
      </c>
      <c r="B13" s="1">
        <v>42011</v>
      </c>
      <c r="C13">
        <v>686</v>
      </c>
    </row>
    <row r="14" spans="1:3">
      <c r="A14">
        <v>772</v>
      </c>
      <c r="B14" s="1">
        <v>42011</v>
      </c>
      <c r="C14">
        <v>709</v>
      </c>
    </row>
    <row r="15" spans="1:3">
      <c r="A15">
        <v>773</v>
      </c>
      <c r="B15" s="1">
        <v>42011</v>
      </c>
      <c r="C15">
        <v>733</v>
      </c>
    </row>
    <row r="16" spans="1:3">
      <c r="A16">
        <v>774</v>
      </c>
      <c r="B16" s="1">
        <v>42011</v>
      </c>
      <c r="C16">
        <v>760</v>
      </c>
    </row>
    <row r="17" spans="1:3">
      <c r="A17">
        <v>775</v>
      </c>
      <c r="B17" s="1">
        <v>42011</v>
      </c>
      <c r="C17">
        <v>788</v>
      </c>
    </row>
    <row r="18" spans="1:3">
      <c r="A18">
        <v>776</v>
      </c>
      <c r="B18" s="1">
        <v>42011</v>
      </c>
      <c r="C18">
        <v>819</v>
      </c>
    </row>
    <row r="19" spans="1:3">
      <c r="A19">
        <v>777</v>
      </c>
      <c r="B19" s="1">
        <v>42011</v>
      </c>
      <c r="C19">
        <v>853</v>
      </c>
    </row>
    <row r="20" spans="1:3">
      <c r="A20">
        <v>778</v>
      </c>
      <c r="B20" s="1">
        <v>42011</v>
      </c>
      <c r="C20">
        <v>890</v>
      </c>
    </row>
    <row r="21" spans="1:3">
      <c r="A21">
        <v>779</v>
      </c>
      <c r="B21" s="1">
        <v>42011</v>
      </c>
      <c r="C21">
        <v>930</v>
      </c>
    </row>
    <row r="22" spans="1:3">
      <c r="A22">
        <v>780</v>
      </c>
      <c r="B22" s="1">
        <v>42011</v>
      </c>
      <c r="C22">
        <v>974</v>
      </c>
    </row>
    <row r="23" spans="1:3">
      <c r="A23">
        <v>781</v>
      </c>
      <c r="B23" s="1">
        <v>42011</v>
      </c>
      <c r="C23">
        <v>1025</v>
      </c>
    </row>
    <row r="24" spans="1:3">
      <c r="A24">
        <v>782</v>
      </c>
      <c r="B24" s="1">
        <v>42011</v>
      </c>
      <c r="C24">
        <v>1082</v>
      </c>
    </row>
    <row r="25" spans="1:3">
      <c r="A25">
        <v>783</v>
      </c>
      <c r="B25" s="1">
        <v>42011</v>
      </c>
      <c r="C25">
        <v>1146</v>
      </c>
    </row>
    <row r="26" spans="1:3">
      <c r="A26">
        <v>784</v>
      </c>
      <c r="B26" s="1">
        <v>42011</v>
      </c>
      <c r="C26">
        <v>1218</v>
      </c>
    </row>
    <row r="27" spans="1:3">
      <c r="A27">
        <v>785</v>
      </c>
      <c r="B27" s="1">
        <v>42011</v>
      </c>
      <c r="C27">
        <v>1301</v>
      </c>
    </row>
    <row r="28" spans="1:3">
      <c r="A28">
        <v>786</v>
      </c>
      <c r="B28" s="1">
        <v>42011</v>
      </c>
      <c r="C28">
        <v>1396</v>
      </c>
    </row>
    <row r="29" spans="1:3">
      <c r="A29">
        <v>787</v>
      </c>
      <c r="B29" s="1">
        <v>42011</v>
      </c>
      <c r="C29">
        <v>1507</v>
      </c>
    </row>
    <row r="30" spans="1:3">
      <c r="A30">
        <v>788</v>
      </c>
      <c r="B30" s="1">
        <v>42011</v>
      </c>
      <c r="C30">
        <v>1638</v>
      </c>
    </row>
    <row r="31" spans="1:3">
      <c r="A31">
        <v>789</v>
      </c>
      <c r="B31" s="1">
        <v>42011</v>
      </c>
      <c r="C31">
        <v>1795</v>
      </c>
    </row>
    <row r="32" spans="1:3">
      <c r="A32">
        <v>790</v>
      </c>
      <c r="B32" s="1">
        <v>42011</v>
      </c>
      <c r="C32">
        <v>1985</v>
      </c>
    </row>
    <row r="33" spans="1:3">
      <c r="A33">
        <v>791</v>
      </c>
      <c r="B33" s="1">
        <v>42011</v>
      </c>
      <c r="C33">
        <v>2222</v>
      </c>
    </row>
    <row r="34" spans="1:3">
      <c r="A34">
        <v>792</v>
      </c>
      <c r="B34" s="1">
        <v>42011</v>
      </c>
      <c r="C34">
        <v>2526</v>
      </c>
    </row>
    <row r="35" spans="1:3">
      <c r="A35">
        <v>793</v>
      </c>
      <c r="B35" s="1">
        <v>42011</v>
      </c>
      <c r="C35">
        <v>2939</v>
      </c>
    </row>
    <row r="36" spans="1:3">
      <c r="A36">
        <v>794</v>
      </c>
      <c r="B36" s="1">
        <v>42011</v>
      </c>
      <c r="C36">
        <v>3518</v>
      </c>
    </row>
    <row r="37" spans="1:3">
      <c r="A37">
        <v>795</v>
      </c>
      <c r="B37" s="1">
        <v>42011</v>
      </c>
      <c r="C37">
        <v>4386</v>
      </c>
    </row>
    <row r="38" spans="1:3">
      <c r="A38">
        <v>796</v>
      </c>
      <c r="B38" s="1">
        <v>42011</v>
      </c>
      <c r="C38">
        <v>5832</v>
      </c>
    </row>
    <row r="39" spans="1:3">
      <c r="A39">
        <v>797</v>
      </c>
      <c r="B39" s="1">
        <v>42011</v>
      </c>
      <c r="C39">
        <v>8725</v>
      </c>
    </row>
    <row r="40" spans="1:3">
      <c r="A40">
        <v>798</v>
      </c>
      <c r="B40" s="1">
        <v>42011</v>
      </c>
      <c r="C40">
        <v>17403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C41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5.875" bestFit="1" customWidth="1"/>
  </cols>
  <sheetData>
    <row r="1" spans="1:3">
      <c r="A1">
        <v>660</v>
      </c>
      <c r="B1" s="1">
        <v>42011</v>
      </c>
      <c r="C1">
        <v>200</v>
      </c>
    </row>
    <row r="2" spans="1:3">
      <c r="A2">
        <v>672</v>
      </c>
      <c r="B2" s="1">
        <v>42011</v>
      </c>
      <c r="C2">
        <v>211</v>
      </c>
    </row>
    <row r="3" spans="1:3">
      <c r="A3">
        <v>684</v>
      </c>
      <c r="B3" s="1">
        <v>42011</v>
      </c>
      <c r="C3">
        <v>225</v>
      </c>
    </row>
    <row r="4" spans="1:3">
      <c r="A4">
        <v>696</v>
      </c>
      <c r="B4" s="1">
        <v>42011</v>
      </c>
      <c r="C4">
        <v>241</v>
      </c>
    </row>
    <row r="5" spans="1:3">
      <c r="A5">
        <v>708</v>
      </c>
      <c r="B5" s="1">
        <v>42011</v>
      </c>
      <c r="C5">
        <v>262</v>
      </c>
    </row>
    <row r="6" spans="1:3">
      <c r="A6">
        <v>720</v>
      </c>
      <c r="B6" s="1">
        <v>42011</v>
      </c>
      <c r="C6">
        <v>290</v>
      </c>
    </row>
    <row r="7" spans="1:3">
      <c r="A7">
        <v>732</v>
      </c>
      <c r="B7" s="1">
        <v>42011</v>
      </c>
      <c r="C7">
        <v>327</v>
      </c>
    </row>
    <row r="8" spans="1:3">
      <c r="A8">
        <v>744</v>
      </c>
      <c r="B8" s="1">
        <v>42011</v>
      </c>
      <c r="C8">
        <v>380</v>
      </c>
    </row>
    <row r="9" spans="1:3">
      <c r="A9">
        <v>756</v>
      </c>
      <c r="B9" s="1">
        <v>42011</v>
      </c>
      <c r="C9">
        <v>463</v>
      </c>
    </row>
    <row r="10" spans="1:3">
      <c r="A10">
        <v>768</v>
      </c>
      <c r="B10" s="1">
        <v>42011</v>
      </c>
      <c r="C10">
        <v>607</v>
      </c>
    </row>
    <row r="11" spans="1:3">
      <c r="A11">
        <v>769</v>
      </c>
      <c r="B11" s="1">
        <v>42011</v>
      </c>
      <c r="C11">
        <v>625</v>
      </c>
    </row>
    <row r="12" spans="1:3">
      <c r="A12">
        <v>770</v>
      </c>
      <c r="B12" s="1">
        <v>42011</v>
      </c>
      <c r="C12">
        <v>643</v>
      </c>
    </row>
    <row r="13" spans="1:3">
      <c r="A13">
        <v>771</v>
      </c>
      <c r="B13" s="1">
        <v>42011</v>
      </c>
      <c r="C13">
        <v>663</v>
      </c>
    </row>
    <row r="14" spans="1:3">
      <c r="A14">
        <v>772</v>
      </c>
      <c r="B14" s="1">
        <v>42011</v>
      </c>
      <c r="C14">
        <v>684</v>
      </c>
    </row>
    <row r="15" spans="1:3">
      <c r="A15">
        <v>773</v>
      </c>
      <c r="B15" s="1">
        <v>42011</v>
      </c>
      <c r="C15">
        <v>707</v>
      </c>
    </row>
    <row r="16" spans="1:3">
      <c r="A16">
        <v>774</v>
      </c>
      <c r="B16" s="1">
        <v>42011</v>
      </c>
      <c r="C16">
        <v>732</v>
      </c>
    </row>
    <row r="17" spans="1:3">
      <c r="A17">
        <v>775</v>
      </c>
      <c r="B17" s="1">
        <v>42011</v>
      </c>
      <c r="C17">
        <v>758</v>
      </c>
    </row>
    <row r="18" spans="1:3">
      <c r="A18">
        <v>776</v>
      </c>
      <c r="B18" s="1">
        <v>42011</v>
      </c>
      <c r="C18">
        <v>786</v>
      </c>
    </row>
    <row r="19" spans="1:3">
      <c r="A19">
        <v>777</v>
      </c>
      <c r="B19" s="1">
        <v>42011</v>
      </c>
      <c r="C19">
        <v>817</v>
      </c>
    </row>
    <row r="20" spans="1:3">
      <c r="A20">
        <v>778</v>
      </c>
      <c r="B20" s="1">
        <v>42011</v>
      </c>
      <c r="C20">
        <v>850</v>
      </c>
    </row>
    <row r="21" spans="1:3">
      <c r="A21">
        <v>779</v>
      </c>
      <c r="B21" s="1">
        <v>42011</v>
      </c>
      <c r="C21">
        <v>887</v>
      </c>
    </row>
    <row r="22" spans="1:3">
      <c r="A22">
        <v>780</v>
      </c>
      <c r="B22" s="1">
        <v>42011</v>
      </c>
      <c r="C22">
        <v>926</v>
      </c>
    </row>
    <row r="23" spans="1:3">
      <c r="A23">
        <v>781</v>
      </c>
      <c r="B23" s="1">
        <v>42011</v>
      </c>
      <c r="C23">
        <v>972</v>
      </c>
    </row>
    <row r="24" spans="1:3">
      <c r="A24">
        <v>782</v>
      </c>
      <c r="B24" s="1">
        <v>42011</v>
      </c>
      <c r="C24">
        <v>1023</v>
      </c>
    </row>
    <row r="25" spans="1:3">
      <c r="A25">
        <v>783</v>
      </c>
      <c r="B25" s="1">
        <v>42011</v>
      </c>
      <c r="C25">
        <v>1080</v>
      </c>
    </row>
    <row r="26" spans="1:3">
      <c r="A26">
        <v>784</v>
      </c>
      <c r="B26" s="1">
        <v>42011</v>
      </c>
      <c r="C26">
        <v>1143</v>
      </c>
    </row>
    <row r="27" spans="1:3">
      <c r="A27">
        <v>785</v>
      </c>
      <c r="B27" s="1">
        <v>42011</v>
      </c>
      <c r="C27">
        <v>1215</v>
      </c>
    </row>
    <row r="28" spans="1:3">
      <c r="A28">
        <v>786</v>
      </c>
      <c r="B28" s="1">
        <v>42011</v>
      </c>
      <c r="C28">
        <v>1298</v>
      </c>
    </row>
    <row r="29" spans="1:3">
      <c r="A29">
        <v>787</v>
      </c>
      <c r="B29" s="1">
        <v>42011</v>
      </c>
      <c r="C29">
        <v>1392</v>
      </c>
    </row>
    <row r="30" spans="1:3">
      <c r="A30">
        <v>788</v>
      </c>
      <c r="B30" s="1">
        <v>42011</v>
      </c>
      <c r="C30">
        <v>1502</v>
      </c>
    </row>
    <row r="31" spans="1:3">
      <c r="A31">
        <v>789</v>
      </c>
      <c r="B31" s="1">
        <v>42011</v>
      </c>
      <c r="C31">
        <v>1632</v>
      </c>
    </row>
    <row r="32" spans="1:3">
      <c r="A32">
        <v>790</v>
      </c>
      <c r="B32" s="1">
        <v>42011</v>
      </c>
      <c r="C32">
        <v>1787</v>
      </c>
    </row>
    <row r="33" spans="1:3">
      <c r="A33">
        <v>791</v>
      </c>
      <c r="B33" s="1">
        <v>42011</v>
      </c>
      <c r="C33">
        <v>1976</v>
      </c>
    </row>
    <row r="34" spans="1:3">
      <c r="A34">
        <v>792</v>
      </c>
      <c r="B34" s="1">
        <v>42011</v>
      </c>
      <c r="C34">
        <v>2210</v>
      </c>
    </row>
    <row r="35" spans="1:3">
      <c r="A35">
        <v>793</v>
      </c>
      <c r="B35" s="1">
        <v>42011</v>
      </c>
      <c r="C35">
        <v>2519</v>
      </c>
    </row>
    <row r="36" spans="1:3">
      <c r="A36">
        <v>794</v>
      </c>
      <c r="B36" s="1">
        <v>42011</v>
      </c>
      <c r="C36">
        <v>2931</v>
      </c>
    </row>
    <row r="37" spans="1:3">
      <c r="A37">
        <v>795</v>
      </c>
      <c r="B37" s="1">
        <v>42011</v>
      </c>
      <c r="C37">
        <v>3509</v>
      </c>
    </row>
    <row r="38" spans="1:3">
      <c r="A38">
        <v>796</v>
      </c>
      <c r="B38" s="1">
        <v>42011</v>
      </c>
      <c r="C38">
        <v>4374</v>
      </c>
    </row>
    <row r="39" spans="1:3">
      <c r="A39">
        <v>797</v>
      </c>
      <c r="B39" s="1">
        <v>42011</v>
      </c>
      <c r="C39">
        <v>5817</v>
      </c>
    </row>
    <row r="40" spans="1:3">
      <c r="A40">
        <v>798</v>
      </c>
      <c r="B40" s="1">
        <v>42011</v>
      </c>
      <c r="C40">
        <v>8702</v>
      </c>
    </row>
    <row r="41" spans="1:3">
      <c r="A41">
        <v>799</v>
      </c>
      <c r="B41" s="1">
        <v>42011</v>
      </c>
      <c r="C41">
        <v>17357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:C42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5.875" bestFit="1" customWidth="1"/>
  </cols>
  <sheetData>
    <row r="1" spans="1:3">
      <c r="A1">
        <v>660</v>
      </c>
      <c r="B1" s="1">
        <v>42011</v>
      </c>
      <c r="C1">
        <v>199</v>
      </c>
    </row>
    <row r="2" spans="1:3">
      <c r="A2">
        <v>672</v>
      </c>
      <c r="B2" s="1">
        <v>42011</v>
      </c>
      <c r="C2">
        <v>210</v>
      </c>
    </row>
    <row r="3" spans="1:3">
      <c r="A3">
        <v>684</v>
      </c>
      <c r="B3" s="1">
        <v>42011</v>
      </c>
      <c r="C3">
        <v>223</v>
      </c>
    </row>
    <row r="4" spans="1:3">
      <c r="A4">
        <v>696</v>
      </c>
      <c r="B4" s="1">
        <v>42011</v>
      </c>
      <c r="C4">
        <v>239</v>
      </c>
    </row>
    <row r="5" spans="1:3">
      <c r="A5">
        <v>708</v>
      </c>
      <c r="B5" s="1">
        <v>42011</v>
      </c>
      <c r="C5">
        <v>260</v>
      </c>
    </row>
    <row r="6" spans="1:3">
      <c r="A6">
        <v>720</v>
      </c>
      <c r="B6" s="1">
        <v>42011</v>
      </c>
      <c r="C6">
        <v>287</v>
      </c>
    </row>
    <row r="7" spans="1:3">
      <c r="A7">
        <v>732</v>
      </c>
      <c r="B7" s="1">
        <v>42011</v>
      </c>
      <c r="C7">
        <v>323</v>
      </c>
    </row>
    <row r="8" spans="1:3">
      <c r="A8">
        <v>744</v>
      </c>
      <c r="B8" s="1">
        <v>42011</v>
      </c>
      <c r="C8">
        <v>374</v>
      </c>
    </row>
    <row r="9" spans="1:3">
      <c r="A9">
        <v>756</v>
      </c>
      <c r="B9" s="1">
        <v>42011</v>
      </c>
      <c r="C9">
        <v>453</v>
      </c>
    </row>
    <row r="10" spans="1:3">
      <c r="A10">
        <v>768</v>
      </c>
      <c r="B10" s="1">
        <v>42011</v>
      </c>
      <c r="C10">
        <v>590</v>
      </c>
    </row>
    <row r="11" spans="1:3">
      <c r="A11">
        <v>769</v>
      </c>
      <c r="B11" s="1">
        <v>42011</v>
      </c>
      <c r="C11">
        <v>606</v>
      </c>
    </row>
    <row r="12" spans="1:3">
      <c r="A12">
        <v>770</v>
      </c>
      <c r="B12" s="1">
        <v>42011</v>
      </c>
      <c r="C12">
        <v>624</v>
      </c>
    </row>
    <row r="13" spans="1:3">
      <c r="A13">
        <v>771</v>
      </c>
      <c r="B13" s="1">
        <v>42011</v>
      </c>
      <c r="C13">
        <v>642</v>
      </c>
    </row>
    <row r="14" spans="1:3">
      <c r="A14">
        <v>772</v>
      </c>
      <c r="B14" s="1">
        <v>42011</v>
      </c>
      <c r="C14">
        <v>662</v>
      </c>
    </row>
    <row r="15" spans="1:3">
      <c r="A15">
        <v>773</v>
      </c>
      <c r="B15" s="1">
        <v>42011</v>
      </c>
      <c r="C15">
        <v>683</v>
      </c>
    </row>
    <row r="16" spans="1:3">
      <c r="A16">
        <v>774</v>
      </c>
      <c r="B16" s="1">
        <v>42011</v>
      </c>
      <c r="C16">
        <v>705</v>
      </c>
    </row>
    <row r="17" spans="1:3">
      <c r="A17">
        <v>775</v>
      </c>
      <c r="B17" s="1">
        <v>42011</v>
      </c>
      <c r="C17">
        <v>730</v>
      </c>
    </row>
    <row r="18" spans="1:3">
      <c r="A18">
        <v>776</v>
      </c>
      <c r="B18" s="1">
        <v>42011</v>
      </c>
      <c r="C18">
        <v>756</v>
      </c>
    </row>
    <row r="19" spans="1:3">
      <c r="A19">
        <v>777</v>
      </c>
      <c r="B19" s="1">
        <v>42011</v>
      </c>
      <c r="C19">
        <v>784</v>
      </c>
    </row>
    <row r="20" spans="1:3">
      <c r="A20">
        <v>778</v>
      </c>
      <c r="B20" s="1">
        <v>42011</v>
      </c>
      <c r="C20">
        <v>814</v>
      </c>
    </row>
    <row r="21" spans="1:3">
      <c r="A21">
        <v>779</v>
      </c>
      <c r="B21" s="1">
        <v>42011</v>
      </c>
      <c r="C21">
        <v>847</v>
      </c>
    </row>
    <row r="22" spans="1:3">
      <c r="A22">
        <v>780</v>
      </c>
      <c r="B22" s="1">
        <v>42011</v>
      </c>
      <c r="C22">
        <v>883</v>
      </c>
    </row>
    <row r="23" spans="1:3">
      <c r="A23">
        <v>781</v>
      </c>
      <c r="B23" s="1">
        <v>42011</v>
      </c>
      <c r="C23">
        <v>925</v>
      </c>
    </row>
    <row r="24" spans="1:3">
      <c r="A24">
        <v>782</v>
      </c>
      <c r="B24" s="1">
        <v>42011</v>
      </c>
      <c r="C24">
        <v>970</v>
      </c>
    </row>
    <row r="25" spans="1:3">
      <c r="A25">
        <v>783</v>
      </c>
      <c r="B25" s="1">
        <v>42011</v>
      </c>
      <c r="C25">
        <v>1021</v>
      </c>
    </row>
    <row r="26" spans="1:3">
      <c r="A26">
        <v>784</v>
      </c>
      <c r="B26" s="1">
        <v>42011</v>
      </c>
      <c r="C26">
        <v>1077</v>
      </c>
    </row>
    <row r="27" spans="1:3">
      <c r="A27">
        <v>785</v>
      </c>
      <c r="B27" s="1">
        <v>42011</v>
      </c>
      <c r="C27">
        <v>1140</v>
      </c>
    </row>
    <row r="28" spans="1:3">
      <c r="A28">
        <v>786</v>
      </c>
      <c r="B28" s="1">
        <v>42011</v>
      </c>
      <c r="C28">
        <v>1212</v>
      </c>
    </row>
    <row r="29" spans="1:3">
      <c r="A29">
        <v>787</v>
      </c>
      <c r="B29" s="1">
        <v>42011</v>
      </c>
      <c r="C29">
        <v>1293</v>
      </c>
    </row>
    <row r="30" spans="1:3">
      <c r="A30">
        <v>788</v>
      </c>
      <c r="B30" s="1">
        <v>42011</v>
      </c>
      <c r="C30">
        <v>1387</v>
      </c>
    </row>
    <row r="31" spans="1:3">
      <c r="A31">
        <v>789</v>
      </c>
      <c r="B31" s="1">
        <v>42011</v>
      </c>
      <c r="C31">
        <v>1496</v>
      </c>
    </row>
    <row r="32" spans="1:3">
      <c r="A32">
        <v>790</v>
      </c>
      <c r="B32" s="1">
        <v>42011</v>
      </c>
      <c r="C32">
        <v>1625</v>
      </c>
    </row>
    <row r="33" spans="1:3">
      <c r="A33">
        <v>791</v>
      </c>
      <c r="B33" s="1">
        <v>42011</v>
      </c>
      <c r="C33">
        <v>1778</v>
      </c>
    </row>
    <row r="34" spans="1:3">
      <c r="A34">
        <v>792</v>
      </c>
      <c r="B34" s="1">
        <v>42011</v>
      </c>
      <c r="C34">
        <v>1965</v>
      </c>
    </row>
    <row r="35" spans="1:3">
      <c r="A35">
        <v>793</v>
      </c>
      <c r="B35" s="1">
        <v>42011</v>
      </c>
      <c r="C35">
        <v>2204</v>
      </c>
    </row>
    <row r="36" spans="1:3">
      <c r="A36">
        <v>794</v>
      </c>
      <c r="B36" s="1">
        <v>42011</v>
      </c>
      <c r="C36">
        <v>2513</v>
      </c>
    </row>
    <row r="37" spans="1:3">
      <c r="A37">
        <v>795</v>
      </c>
      <c r="B37" s="1">
        <v>42011</v>
      </c>
      <c r="C37">
        <v>2924</v>
      </c>
    </row>
    <row r="38" spans="1:3">
      <c r="A38">
        <v>796</v>
      </c>
      <c r="B38" s="1">
        <v>42011</v>
      </c>
      <c r="C38">
        <v>3499</v>
      </c>
    </row>
    <row r="39" spans="1:3">
      <c r="A39">
        <v>797</v>
      </c>
      <c r="B39" s="1">
        <v>42011</v>
      </c>
      <c r="C39">
        <v>4362</v>
      </c>
    </row>
    <row r="40" spans="1:3">
      <c r="A40">
        <v>798</v>
      </c>
      <c r="B40" s="1">
        <v>42011</v>
      </c>
      <c r="C40">
        <v>5801</v>
      </c>
    </row>
    <row r="41" spans="1:3">
      <c r="A41">
        <v>799</v>
      </c>
      <c r="B41" s="1">
        <v>42011</v>
      </c>
      <c r="C41">
        <v>8678</v>
      </c>
    </row>
    <row r="42" spans="1:3">
      <c r="A42">
        <v>800</v>
      </c>
      <c r="B42" s="1">
        <v>42011</v>
      </c>
      <c r="C42">
        <v>17310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:C43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5.875" bestFit="1" customWidth="1"/>
  </cols>
  <sheetData>
    <row r="1" spans="1:3">
      <c r="A1">
        <v>660</v>
      </c>
      <c r="B1" s="1">
        <v>42011</v>
      </c>
      <c r="C1">
        <v>198</v>
      </c>
    </row>
    <row r="2" spans="1:3">
      <c r="A2">
        <v>672</v>
      </c>
      <c r="B2" s="1">
        <v>42011</v>
      </c>
      <c r="C2">
        <v>209</v>
      </c>
    </row>
    <row r="3" spans="1:3">
      <c r="A3">
        <v>684</v>
      </c>
      <c r="B3" s="1">
        <v>42011</v>
      </c>
      <c r="C3">
        <v>222</v>
      </c>
    </row>
    <row r="4" spans="1:3">
      <c r="A4">
        <v>696</v>
      </c>
      <c r="B4" s="1">
        <v>42011</v>
      </c>
      <c r="C4">
        <v>238</v>
      </c>
    </row>
    <row r="5" spans="1:3">
      <c r="A5">
        <v>708</v>
      </c>
      <c r="B5" s="1">
        <v>42011</v>
      </c>
      <c r="C5">
        <v>258</v>
      </c>
    </row>
    <row r="6" spans="1:3">
      <c r="A6">
        <v>720</v>
      </c>
      <c r="B6" s="1">
        <v>42011</v>
      </c>
      <c r="C6">
        <v>284</v>
      </c>
    </row>
    <row r="7" spans="1:3">
      <c r="A7">
        <v>732</v>
      </c>
      <c r="B7" s="1">
        <v>42011</v>
      </c>
      <c r="C7">
        <v>319</v>
      </c>
    </row>
    <row r="8" spans="1:3">
      <c r="A8">
        <v>744</v>
      </c>
      <c r="B8" s="1">
        <v>42011</v>
      </c>
      <c r="C8">
        <v>368</v>
      </c>
    </row>
    <row r="9" spans="1:3">
      <c r="A9">
        <v>756</v>
      </c>
      <c r="B9" s="1">
        <v>42011</v>
      </c>
      <c r="C9">
        <v>444</v>
      </c>
    </row>
    <row r="10" spans="1:3">
      <c r="A10">
        <v>768</v>
      </c>
      <c r="B10" s="1">
        <v>42011</v>
      </c>
      <c r="C10">
        <v>573</v>
      </c>
    </row>
    <row r="11" spans="1:3">
      <c r="A11">
        <v>769</v>
      </c>
      <c r="B11" s="1">
        <v>42011</v>
      </c>
      <c r="C11">
        <v>589</v>
      </c>
    </row>
    <row r="12" spans="1:3">
      <c r="A12">
        <v>770</v>
      </c>
      <c r="B12" s="1">
        <v>42011</v>
      </c>
      <c r="C12">
        <v>605</v>
      </c>
    </row>
    <row r="13" spans="1:3">
      <c r="A13">
        <v>771</v>
      </c>
      <c r="B13" s="1">
        <v>42011</v>
      </c>
      <c r="C13">
        <v>622</v>
      </c>
    </row>
    <row r="14" spans="1:3">
      <c r="A14">
        <v>772</v>
      </c>
      <c r="B14" s="1">
        <v>42011</v>
      </c>
      <c r="C14">
        <v>640</v>
      </c>
    </row>
    <row r="15" spans="1:3">
      <c r="A15">
        <v>773</v>
      </c>
      <c r="B15" s="1">
        <v>42011</v>
      </c>
      <c r="C15">
        <v>660</v>
      </c>
    </row>
    <row r="16" spans="1:3">
      <c r="A16">
        <v>774</v>
      </c>
      <c r="B16" s="1">
        <v>42011</v>
      </c>
      <c r="C16">
        <v>681</v>
      </c>
    </row>
    <row r="17" spans="1:3">
      <c r="A17">
        <v>775</v>
      </c>
      <c r="B17" s="1">
        <v>42011</v>
      </c>
      <c r="C17">
        <v>703</v>
      </c>
    </row>
    <row r="18" spans="1:3">
      <c r="A18">
        <v>776</v>
      </c>
      <c r="B18" s="1">
        <v>42011</v>
      </c>
      <c r="C18">
        <v>727</v>
      </c>
    </row>
    <row r="19" spans="1:3">
      <c r="A19">
        <v>777</v>
      </c>
      <c r="B19" s="1">
        <v>42011</v>
      </c>
      <c r="C19">
        <v>753</v>
      </c>
    </row>
    <row r="20" spans="1:3">
      <c r="A20">
        <v>778</v>
      </c>
      <c r="B20" s="1">
        <v>42011</v>
      </c>
      <c r="C20">
        <v>781</v>
      </c>
    </row>
    <row r="21" spans="1:3">
      <c r="A21">
        <v>779</v>
      </c>
      <c r="B21" s="1">
        <v>42011</v>
      </c>
      <c r="C21">
        <v>811</v>
      </c>
    </row>
    <row r="22" spans="1:3">
      <c r="A22">
        <v>780</v>
      </c>
      <c r="B22" s="1">
        <v>42011</v>
      </c>
      <c r="C22">
        <v>844</v>
      </c>
    </row>
    <row r="23" spans="1:3">
      <c r="A23">
        <v>781</v>
      </c>
      <c r="B23" s="1">
        <v>42011</v>
      </c>
      <c r="C23">
        <v>881</v>
      </c>
    </row>
    <row r="24" spans="1:3">
      <c r="A24">
        <v>782</v>
      </c>
      <c r="B24" s="1">
        <v>42011</v>
      </c>
      <c r="C24">
        <v>922</v>
      </c>
    </row>
    <row r="25" spans="1:3">
      <c r="A25">
        <v>783</v>
      </c>
      <c r="B25" s="1">
        <v>42011</v>
      </c>
      <c r="C25">
        <v>968</v>
      </c>
    </row>
    <row r="26" spans="1:3">
      <c r="A26">
        <v>784</v>
      </c>
      <c r="B26" s="1">
        <v>42011</v>
      </c>
      <c r="C26">
        <v>1018</v>
      </c>
    </row>
    <row r="27" spans="1:3">
      <c r="A27">
        <v>785</v>
      </c>
      <c r="B27" s="1">
        <v>42011</v>
      </c>
      <c r="C27">
        <v>1074</v>
      </c>
    </row>
    <row r="28" spans="1:3">
      <c r="A28">
        <v>786</v>
      </c>
      <c r="B28" s="1">
        <v>42011</v>
      </c>
      <c r="C28">
        <v>1137</v>
      </c>
    </row>
    <row r="29" spans="1:3">
      <c r="A29">
        <v>787</v>
      </c>
      <c r="B29" s="1">
        <v>42011</v>
      </c>
      <c r="C29">
        <v>1208</v>
      </c>
    </row>
    <row r="30" spans="1:3">
      <c r="A30">
        <v>788</v>
      </c>
      <c r="B30" s="1">
        <v>42011</v>
      </c>
      <c r="C30">
        <v>1288</v>
      </c>
    </row>
    <row r="31" spans="1:3">
      <c r="A31">
        <v>789</v>
      </c>
      <c r="B31" s="1">
        <v>42011</v>
      </c>
      <c r="C31">
        <v>1381</v>
      </c>
    </row>
    <row r="32" spans="1:3">
      <c r="A32">
        <v>790</v>
      </c>
      <c r="B32" s="1">
        <v>42011</v>
      </c>
      <c r="C32">
        <v>1489</v>
      </c>
    </row>
    <row r="33" spans="1:3">
      <c r="A33">
        <v>791</v>
      </c>
      <c r="B33" s="1">
        <v>42011</v>
      </c>
      <c r="C33">
        <v>1617</v>
      </c>
    </row>
    <row r="34" spans="1:3">
      <c r="A34">
        <v>792</v>
      </c>
      <c r="B34" s="1">
        <v>42011</v>
      </c>
      <c r="C34">
        <v>1768</v>
      </c>
    </row>
    <row r="35" spans="1:3">
      <c r="A35">
        <v>793</v>
      </c>
      <c r="B35" s="1">
        <v>42011</v>
      </c>
      <c r="C35">
        <v>1959</v>
      </c>
    </row>
    <row r="36" spans="1:3">
      <c r="A36">
        <v>794</v>
      </c>
      <c r="B36" s="1">
        <v>42011</v>
      </c>
      <c r="C36">
        <v>2199</v>
      </c>
    </row>
    <row r="37" spans="1:3">
      <c r="A37">
        <v>795</v>
      </c>
      <c r="B37" s="1">
        <v>42011</v>
      </c>
      <c r="C37">
        <v>2506</v>
      </c>
    </row>
    <row r="38" spans="1:3">
      <c r="A38">
        <v>796</v>
      </c>
      <c r="B38" s="1">
        <v>42011</v>
      </c>
      <c r="C38">
        <v>2916</v>
      </c>
    </row>
    <row r="39" spans="1:3">
      <c r="A39">
        <v>797</v>
      </c>
      <c r="B39" s="1">
        <v>42011</v>
      </c>
      <c r="C39">
        <v>3490</v>
      </c>
    </row>
    <row r="40" spans="1:3">
      <c r="A40">
        <v>798</v>
      </c>
      <c r="B40" s="1">
        <v>42011</v>
      </c>
      <c r="C40">
        <v>4351</v>
      </c>
    </row>
    <row r="41" spans="1:3">
      <c r="A41">
        <v>799</v>
      </c>
      <c r="B41" s="1">
        <v>42011</v>
      </c>
      <c r="C41">
        <v>5786</v>
      </c>
    </row>
    <row r="42" spans="1:3">
      <c r="A42">
        <v>800</v>
      </c>
      <c r="B42" s="1">
        <v>42011</v>
      </c>
      <c r="C42">
        <v>8655</v>
      </c>
    </row>
    <row r="43" spans="1:3">
      <c r="A43">
        <v>801</v>
      </c>
      <c r="B43" s="1">
        <v>42011</v>
      </c>
      <c r="C43">
        <v>17264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C44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5.875" bestFit="1" customWidth="1"/>
  </cols>
  <sheetData>
    <row r="1" spans="1:3">
      <c r="A1">
        <v>660</v>
      </c>
      <c r="B1" s="1">
        <v>42011</v>
      </c>
      <c r="C1">
        <v>197</v>
      </c>
    </row>
    <row r="2" spans="1:3">
      <c r="A2">
        <v>672</v>
      </c>
      <c r="B2" s="1">
        <v>42011</v>
      </c>
      <c r="C2">
        <v>207</v>
      </c>
    </row>
    <row r="3" spans="1:3">
      <c r="A3">
        <v>684</v>
      </c>
      <c r="B3" s="1">
        <v>42011</v>
      </c>
      <c r="C3">
        <v>220</v>
      </c>
    </row>
    <row r="4" spans="1:3">
      <c r="A4">
        <v>696</v>
      </c>
      <c r="B4" s="1">
        <v>42011</v>
      </c>
      <c r="C4">
        <v>236</v>
      </c>
    </row>
    <row r="5" spans="1:3">
      <c r="A5">
        <v>708</v>
      </c>
      <c r="B5" s="1">
        <v>42011</v>
      </c>
      <c r="C5">
        <v>255</v>
      </c>
    </row>
    <row r="6" spans="1:3">
      <c r="A6">
        <v>720</v>
      </c>
      <c r="B6" s="1">
        <v>42011</v>
      </c>
      <c r="C6">
        <v>281</v>
      </c>
    </row>
    <row r="7" spans="1:3">
      <c r="A7">
        <v>732</v>
      </c>
      <c r="B7" s="1">
        <v>42011</v>
      </c>
      <c r="C7">
        <v>315</v>
      </c>
    </row>
    <row r="8" spans="1:3">
      <c r="A8">
        <v>744</v>
      </c>
      <c r="B8" s="1">
        <v>42011</v>
      </c>
      <c r="C8">
        <v>363</v>
      </c>
    </row>
    <row r="9" spans="1:3">
      <c r="A9">
        <v>756</v>
      </c>
      <c r="B9" s="1">
        <v>42011</v>
      </c>
      <c r="C9">
        <v>435</v>
      </c>
    </row>
    <row r="10" spans="1:3">
      <c r="A10">
        <v>768</v>
      </c>
      <c r="B10" s="1">
        <v>42011</v>
      </c>
      <c r="C10">
        <v>558</v>
      </c>
    </row>
    <row r="11" spans="1:3">
      <c r="A11">
        <v>769</v>
      </c>
      <c r="B11" s="1">
        <v>42011</v>
      </c>
      <c r="C11">
        <v>572</v>
      </c>
    </row>
    <row r="12" spans="1:3">
      <c r="A12">
        <v>770</v>
      </c>
      <c r="B12" s="1">
        <v>42011</v>
      </c>
      <c r="C12">
        <v>587</v>
      </c>
    </row>
    <row r="13" spans="1:3">
      <c r="A13">
        <v>771</v>
      </c>
      <c r="B13" s="1">
        <v>42011</v>
      </c>
      <c r="C13">
        <v>603</v>
      </c>
    </row>
    <row r="14" spans="1:3">
      <c r="A14">
        <v>772</v>
      </c>
      <c r="B14" s="1">
        <v>42011</v>
      </c>
      <c r="C14">
        <v>621</v>
      </c>
    </row>
    <row r="15" spans="1:3">
      <c r="A15">
        <v>773</v>
      </c>
      <c r="B15" s="1">
        <v>42011</v>
      </c>
      <c r="C15">
        <v>639</v>
      </c>
    </row>
    <row r="16" spans="1:3">
      <c r="A16">
        <v>774</v>
      </c>
      <c r="B16" s="1">
        <v>42011</v>
      </c>
      <c r="C16">
        <v>658</v>
      </c>
    </row>
    <row r="17" spans="1:3">
      <c r="A17">
        <v>775</v>
      </c>
      <c r="B17" s="1">
        <v>42011</v>
      </c>
      <c r="C17">
        <v>679</v>
      </c>
    </row>
    <row r="18" spans="1:3">
      <c r="A18">
        <v>776</v>
      </c>
      <c r="B18" s="1">
        <v>42011</v>
      </c>
      <c r="C18">
        <v>701</v>
      </c>
    </row>
    <row r="19" spans="1:3">
      <c r="A19">
        <v>777</v>
      </c>
      <c r="B19" s="1">
        <v>42011</v>
      </c>
      <c r="C19">
        <v>725</v>
      </c>
    </row>
    <row r="20" spans="1:3">
      <c r="A20">
        <v>778</v>
      </c>
      <c r="B20" s="1">
        <v>42011</v>
      </c>
      <c r="C20">
        <v>751</v>
      </c>
    </row>
    <row r="21" spans="1:3">
      <c r="A21">
        <v>779</v>
      </c>
      <c r="B21" s="1">
        <v>42011</v>
      </c>
      <c r="C21">
        <v>778</v>
      </c>
    </row>
    <row r="22" spans="1:3">
      <c r="A22">
        <v>780</v>
      </c>
      <c r="B22" s="1">
        <v>42011</v>
      </c>
      <c r="C22">
        <v>808</v>
      </c>
    </row>
    <row r="23" spans="1:3">
      <c r="A23">
        <v>781</v>
      </c>
      <c r="B23" s="1">
        <v>42011</v>
      </c>
      <c r="C23">
        <v>842</v>
      </c>
    </row>
    <row r="24" spans="1:3">
      <c r="A24">
        <v>782</v>
      </c>
      <c r="B24" s="1">
        <v>42011</v>
      </c>
      <c r="C24">
        <v>879</v>
      </c>
    </row>
    <row r="25" spans="1:3">
      <c r="A25">
        <v>783</v>
      </c>
      <c r="B25" s="1">
        <v>42011</v>
      </c>
      <c r="C25">
        <v>920</v>
      </c>
    </row>
    <row r="26" spans="1:3">
      <c r="A26">
        <v>784</v>
      </c>
      <c r="B26" s="1">
        <v>42011</v>
      </c>
      <c r="C26">
        <v>965</v>
      </c>
    </row>
    <row r="27" spans="1:3">
      <c r="A27">
        <v>785</v>
      </c>
      <c r="B27" s="1">
        <v>42011</v>
      </c>
      <c r="C27">
        <v>1015</v>
      </c>
    </row>
    <row r="28" spans="1:3">
      <c r="A28">
        <v>786</v>
      </c>
      <c r="B28" s="1">
        <v>42011</v>
      </c>
      <c r="C28">
        <v>1070</v>
      </c>
    </row>
    <row r="29" spans="1:3">
      <c r="A29">
        <v>787</v>
      </c>
      <c r="B29" s="1">
        <v>42011</v>
      </c>
      <c r="C29">
        <v>1133</v>
      </c>
    </row>
    <row r="30" spans="1:3">
      <c r="A30">
        <v>788</v>
      </c>
      <c r="B30" s="1">
        <v>42011</v>
      </c>
      <c r="C30">
        <v>1203</v>
      </c>
    </row>
    <row r="31" spans="1:3">
      <c r="A31">
        <v>789</v>
      </c>
      <c r="B31" s="1">
        <v>42011</v>
      </c>
      <c r="C31">
        <v>1283</v>
      </c>
    </row>
    <row r="32" spans="1:3">
      <c r="A32">
        <v>790</v>
      </c>
      <c r="B32" s="1">
        <v>42011</v>
      </c>
      <c r="C32">
        <v>1375</v>
      </c>
    </row>
    <row r="33" spans="1:3">
      <c r="A33">
        <v>791</v>
      </c>
      <c r="B33" s="1">
        <v>42011</v>
      </c>
      <c r="C33">
        <v>1482</v>
      </c>
    </row>
    <row r="34" spans="1:3">
      <c r="A34">
        <v>792</v>
      </c>
      <c r="B34" s="1">
        <v>42011</v>
      </c>
      <c r="C34">
        <v>1607</v>
      </c>
    </row>
    <row r="35" spans="1:3">
      <c r="A35">
        <v>793</v>
      </c>
      <c r="B35" s="1">
        <v>42011</v>
      </c>
      <c r="C35">
        <v>1764</v>
      </c>
    </row>
    <row r="36" spans="1:3">
      <c r="A36">
        <v>794</v>
      </c>
      <c r="B36" s="1">
        <v>42011</v>
      </c>
      <c r="C36">
        <v>1954</v>
      </c>
    </row>
    <row r="37" spans="1:3">
      <c r="A37">
        <v>795</v>
      </c>
      <c r="B37" s="1">
        <v>42011</v>
      </c>
      <c r="C37">
        <v>2193</v>
      </c>
    </row>
    <row r="38" spans="1:3">
      <c r="A38">
        <v>796</v>
      </c>
      <c r="B38" s="1">
        <v>42011</v>
      </c>
      <c r="C38">
        <v>2499</v>
      </c>
    </row>
    <row r="39" spans="1:3">
      <c r="A39">
        <v>797</v>
      </c>
      <c r="B39" s="1">
        <v>42011</v>
      </c>
      <c r="C39">
        <v>2908</v>
      </c>
    </row>
    <row r="40" spans="1:3">
      <c r="A40">
        <v>798</v>
      </c>
      <c r="B40" s="1">
        <v>42011</v>
      </c>
      <c r="C40">
        <v>3481</v>
      </c>
    </row>
    <row r="41" spans="1:3">
      <c r="A41">
        <v>799</v>
      </c>
      <c r="B41" s="1">
        <v>42011</v>
      </c>
      <c r="C41">
        <v>4339</v>
      </c>
    </row>
    <row r="42" spans="1:3">
      <c r="A42">
        <v>800</v>
      </c>
      <c r="B42" s="1">
        <v>42011</v>
      </c>
      <c r="C42">
        <v>5770</v>
      </c>
    </row>
    <row r="43" spans="1:3">
      <c r="A43">
        <v>801</v>
      </c>
      <c r="B43" s="1">
        <v>42011</v>
      </c>
      <c r="C43">
        <v>8632</v>
      </c>
    </row>
    <row r="44" spans="1:3">
      <c r="A44">
        <v>802</v>
      </c>
      <c r="B44" s="1">
        <v>42011</v>
      </c>
      <c r="C44">
        <v>17217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C45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5.875" bestFit="1" customWidth="1"/>
  </cols>
  <sheetData>
    <row r="1" spans="1:3">
      <c r="A1">
        <v>660</v>
      </c>
      <c r="B1" s="1">
        <v>42011</v>
      </c>
      <c r="C1">
        <v>196</v>
      </c>
    </row>
    <row r="2" spans="1:3">
      <c r="A2">
        <v>672</v>
      </c>
      <c r="B2" s="1">
        <v>42011</v>
      </c>
      <c r="C2">
        <v>206</v>
      </c>
    </row>
    <row r="3" spans="1:3">
      <c r="A3">
        <v>684</v>
      </c>
      <c r="B3" s="1">
        <v>42011</v>
      </c>
      <c r="C3">
        <v>219</v>
      </c>
    </row>
    <row r="4" spans="1:3">
      <c r="A4">
        <v>696</v>
      </c>
      <c r="B4" s="1">
        <v>42011</v>
      </c>
      <c r="C4">
        <v>234</v>
      </c>
    </row>
    <row r="5" spans="1:3">
      <c r="A5">
        <v>708</v>
      </c>
      <c r="B5" s="1">
        <v>42011</v>
      </c>
      <c r="C5">
        <v>253</v>
      </c>
    </row>
    <row r="6" spans="1:3">
      <c r="A6">
        <v>720</v>
      </c>
      <c r="B6" s="1">
        <v>42011</v>
      </c>
      <c r="C6">
        <v>278</v>
      </c>
    </row>
    <row r="7" spans="1:3">
      <c r="A7">
        <v>732</v>
      </c>
      <c r="B7" s="1">
        <v>42011</v>
      </c>
      <c r="C7">
        <v>311</v>
      </c>
    </row>
    <row r="8" spans="1:3">
      <c r="A8">
        <v>744</v>
      </c>
      <c r="B8" s="1">
        <v>42011</v>
      </c>
      <c r="C8">
        <v>357</v>
      </c>
    </row>
    <row r="9" spans="1:3">
      <c r="A9">
        <v>756</v>
      </c>
      <c r="B9" s="1">
        <v>42011</v>
      </c>
      <c r="C9">
        <v>427</v>
      </c>
    </row>
    <row r="10" spans="1:3">
      <c r="A10">
        <v>768</v>
      </c>
      <c r="B10" s="1">
        <v>42011</v>
      </c>
      <c r="C10">
        <v>543</v>
      </c>
    </row>
    <row r="11" spans="1:3">
      <c r="A11">
        <v>769</v>
      </c>
      <c r="B11" s="1">
        <v>42011</v>
      </c>
      <c r="C11">
        <v>556</v>
      </c>
    </row>
    <row r="12" spans="1:3">
      <c r="A12">
        <v>770</v>
      </c>
      <c r="B12" s="1">
        <v>42011</v>
      </c>
      <c r="C12">
        <v>571</v>
      </c>
    </row>
    <row r="13" spans="1:3">
      <c r="A13">
        <v>771</v>
      </c>
      <c r="B13" s="1">
        <v>42011</v>
      </c>
      <c r="C13">
        <v>586</v>
      </c>
    </row>
    <row r="14" spans="1:3">
      <c r="A14">
        <v>772</v>
      </c>
      <c r="B14" s="1">
        <v>42011</v>
      </c>
      <c r="C14">
        <v>602</v>
      </c>
    </row>
    <row r="15" spans="1:3">
      <c r="A15">
        <v>773</v>
      </c>
      <c r="B15" s="1">
        <v>42011</v>
      </c>
      <c r="C15">
        <v>619</v>
      </c>
    </row>
    <row r="16" spans="1:3">
      <c r="A16">
        <v>774</v>
      </c>
      <c r="B16" s="1">
        <v>42011</v>
      </c>
      <c r="C16">
        <v>637</v>
      </c>
    </row>
    <row r="17" spans="1:3">
      <c r="A17">
        <v>775</v>
      </c>
      <c r="B17" s="1">
        <v>42011</v>
      </c>
      <c r="C17">
        <v>656</v>
      </c>
    </row>
    <row r="18" spans="1:3">
      <c r="A18">
        <v>776</v>
      </c>
      <c r="B18" s="1">
        <v>42011</v>
      </c>
      <c r="C18">
        <v>677</v>
      </c>
    </row>
    <row r="19" spans="1:3">
      <c r="A19">
        <v>777</v>
      </c>
      <c r="B19" s="1">
        <v>42011</v>
      </c>
      <c r="C19">
        <v>699</v>
      </c>
    </row>
    <row r="20" spans="1:3">
      <c r="A20">
        <v>778</v>
      </c>
      <c r="B20" s="1">
        <v>42011</v>
      </c>
      <c r="C20">
        <v>722</v>
      </c>
    </row>
    <row r="21" spans="1:3">
      <c r="A21">
        <v>779</v>
      </c>
      <c r="B21" s="1">
        <v>42011</v>
      </c>
      <c r="C21">
        <v>748</v>
      </c>
    </row>
    <row r="22" spans="1:3">
      <c r="A22">
        <v>780</v>
      </c>
      <c r="B22" s="1">
        <v>42011</v>
      </c>
      <c r="C22">
        <v>775</v>
      </c>
    </row>
    <row r="23" spans="1:3">
      <c r="A23">
        <v>781</v>
      </c>
      <c r="B23" s="1">
        <v>42011</v>
      </c>
      <c r="C23">
        <v>806</v>
      </c>
    </row>
    <row r="24" spans="1:3">
      <c r="A24">
        <v>782</v>
      </c>
      <c r="B24" s="1">
        <v>42011</v>
      </c>
      <c r="C24">
        <v>840</v>
      </c>
    </row>
    <row r="25" spans="1:3">
      <c r="A25">
        <v>783</v>
      </c>
      <c r="B25" s="1">
        <v>42011</v>
      </c>
      <c r="C25">
        <v>877</v>
      </c>
    </row>
    <row r="26" spans="1:3">
      <c r="A26">
        <v>784</v>
      </c>
      <c r="B26" s="1">
        <v>42011</v>
      </c>
      <c r="C26">
        <v>917</v>
      </c>
    </row>
    <row r="27" spans="1:3">
      <c r="A27">
        <v>785</v>
      </c>
      <c r="B27" s="1">
        <v>42011</v>
      </c>
      <c r="C27">
        <v>962</v>
      </c>
    </row>
    <row r="28" spans="1:3">
      <c r="A28">
        <v>786</v>
      </c>
      <c r="B28" s="1">
        <v>42011</v>
      </c>
      <c r="C28">
        <v>1011</v>
      </c>
    </row>
    <row r="29" spans="1:3">
      <c r="A29">
        <v>787</v>
      </c>
      <c r="B29" s="1">
        <v>42011</v>
      </c>
      <c r="C29">
        <v>1066</v>
      </c>
    </row>
    <row r="30" spans="1:3">
      <c r="A30">
        <v>788</v>
      </c>
      <c r="B30" s="1">
        <v>42011</v>
      </c>
      <c r="C30">
        <v>1128</v>
      </c>
    </row>
    <row r="31" spans="1:3">
      <c r="A31">
        <v>789</v>
      </c>
      <c r="B31" s="1">
        <v>42011</v>
      </c>
      <c r="C31">
        <v>1198</v>
      </c>
    </row>
    <row r="32" spans="1:3">
      <c r="A32">
        <v>790</v>
      </c>
      <c r="B32" s="1">
        <v>42011</v>
      </c>
      <c r="C32">
        <v>1277</v>
      </c>
    </row>
    <row r="33" spans="1:3">
      <c r="A33">
        <v>791</v>
      </c>
      <c r="B33" s="1">
        <v>42011</v>
      </c>
      <c r="C33">
        <v>1368</v>
      </c>
    </row>
    <row r="34" spans="1:3">
      <c r="A34">
        <v>792</v>
      </c>
      <c r="B34" s="1">
        <v>42011</v>
      </c>
      <c r="C34">
        <v>1473</v>
      </c>
    </row>
    <row r="35" spans="1:3">
      <c r="A35">
        <v>793</v>
      </c>
      <c r="B35" s="1">
        <v>42011</v>
      </c>
      <c r="C35">
        <v>1603</v>
      </c>
    </row>
    <row r="36" spans="1:3">
      <c r="A36">
        <v>794</v>
      </c>
      <c r="B36" s="1">
        <v>42011</v>
      </c>
      <c r="C36">
        <v>1759</v>
      </c>
    </row>
    <row r="37" spans="1:3">
      <c r="A37">
        <v>795</v>
      </c>
      <c r="B37" s="1">
        <v>42011</v>
      </c>
      <c r="C37">
        <v>1949</v>
      </c>
    </row>
    <row r="38" spans="1:3">
      <c r="A38">
        <v>796</v>
      </c>
      <c r="B38" s="1">
        <v>42011</v>
      </c>
      <c r="C38">
        <v>2187</v>
      </c>
    </row>
    <row r="39" spans="1:3">
      <c r="A39">
        <v>797</v>
      </c>
      <c r="B39" s="1">
        <v>42011</v>
      </c>
      <c r="C39">
        <v>2493</v>
      </c>
    </row>
    <row r="40" spans="1:3">
      <c r="A40">
        <v>798</v>
      </c>
      <c r="B40" s="1">
        <v>42011</v>
      </c>
      <c r="C40">
        <v>2901</v>
      </c>
    </row>
    <row r="41" spans="1:3">
      <c r="A41">
        <v>799</v>
      </c>
      <c r="B41" s="1">
        <v>42011</v>
      </c>
      <c r="C41">
        <v>3471</v>
      </c>
    </row>
    <row r="42" spans="1:3">
      <c r="A42">
        <v>800</v>
      </c>
      <c r="B42" s="1">
        <v>42011</v>
      </c>
      <c r="C42">
        <v>4328</v>
      </c>
    </row>
    <row r="43" spans="1:3">
      <c r="A43">
        <v>801</v>
      </c>
      <c r="B43" s="1">
        <v>42011</v>
      </c>
      <c r="C43">
        <v>5755</v>
      </c>
    </row>
    <row r="44" spans="1:3">
      <c r="A44">
        <v>802</v>
      </c>
      <c r="B44" s="1">
        <v>42011</v>
      </c>
      <c r="C44">
        <v>8609</v>
      </c>
    </row>
    <row r="45" spans="1:3">
      <c r="A45">
        <v>803</v>
      </c>
      <c r="B45" s="1">
        <v>42011</v>
      </c>
      <c r="C45">
        <v>17171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C46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5.875" bestFit="1" customWidth="1"/>
  </cols>
  <sheetData>
    <row r="1" spans="1:3">
      <c r="A1">
        <v>660</v>
      </c>
      <c r="B1" s="1">
        <v>42011</v>
      </c>
      <c r="C1">
        <v>195</v>
      </c>
    </row>
    <row r="2" spans="1:3">
      <c r="A2">
        <v>672</v>
      </c>
      <c r="B2" s="1">
        <v>42011</v>
      </c>
      <c r="C2">
        <v>205</v>
      </c>
    </row>
    <row r="3" spans="1:3">
      <c r="A3">
        <v>684</v>
      </c>
      <c r="B3" s="1">
        <v>42011</v>
      </c>
      <c r="C3">
        <v>217</v>
      </c>
    </row>
    <row r="4" spans="1:3">
      <c r="A4">
        <v>696</v>
      </c>
      <c r="B4" s="1">
        <v>42011</v>
      </c>
      <c r="C4">
        <v>232</v>
      </c>
    </row>
    <row r="5" spans="1:3">
      <c r="A5">
        <v>708</v>
      </c>
      <c r="B5" s="1">
        <v>42011</v>
      </c>
      <c r="C5">
        <v>251</v>
      </c>
    </row>
    <row r="6" spans="1:3">
      <c r="A6">
        <v>720</v>
      </c>
      <c r="B6" s="1">
        <v>42011</v>
      </c>
      <c r="C6">
        <v>275</v>
      </c>
    </row>
    <row r="7" spans="1:3">
      <c r="A7">
        <v>732</v>
      </c>
      <c r="B7" s="1">
        <v>42011</v>
      </c>
      <c r="C7">
        <v>307</v>
      </c>
    </row>
    <row r="8" spans="1:3">
      <c r="A8">
        <v>744</v>
      </c>
      <c r="B8" s="1">
        <v>42011</v>
      </c>
      <c r="C8">
        <v>352</v>
      </c>
    </row>
    <row r="9" spans="1:3">
      <c r="A9">
        <v>756</v>
      </c>
      <c r="B9" s="1">
        <v>42011</v>
      </c>
      <c r="C9">
        <v>419</v>
      </c>
    </row>
    <row r="10" spans="1:3">
      <c r="A10">
        <v>768</v>
      </c>
      <c r="B10" s="1">
        <v>42011</v>
      </c>
      <c r="C10">
        <v>529</v>
      </c>
    </row>
    <row r="11" spans="1:3">
      <c r="A11">
        <v>769</v>
      </c>
      <c r="B11" s="1">
        <v>42011</v>
      </c>
      <c r="C11">
        <v>542</v>
      </c>
    </row>
    <row r="12" spans="1:3">
      <c r="A12">
        <v>770</v>
      </c>
      <c r="B12" s="1">
        <v>42011</v>
      </c>
      <c r="C12">
        <v>556</v>
      </c>
    </row>
    <row r="13" spans="1:3">
      <c r="A13">
        <v>771</v>
      </c>
      <c r="B13" s="1">
        <v>42011</v>
      </c>
      <c r="C13">
        <v>570</v>
      </c>
    </row>
    <row r="14" spans="1:3">
      <c r="A14">
        <v>772</v>
      </c>
      <c r="B14" s="1">
        <v>42011</v>
      </c>
      <c r="C14">
        <v>585</v>
      </c>
    </row>
    <row r="15" spans="1:3">
      <c r="A15">
        <v>773</v>
      </c>
      <c r="B15" s="1">
        <v>42011</v>
      </c>
      <c r="C15">
        <v>601</v>
      </c>
    </row>
    <row r="16" spans="1:3">
      <c r="A16">
        <v>774</v>
      </c>
      <c r="B16" s="1">
        <v>42011</v>
      </c>
      <c r="C16">
        <v>618</v>
      </c>
    </row>
    <row r="17" spans="1:3">
      <c r="A17">
        <v>775</v>
      </c>
      <c r="B17" s="1">
        <v>42011</v>
      </c>
      <c r="C17">
        <v>636</v>
      </c>
    </row>
    <row r="18" spans="1:3">
      <c r="A18">
        <v>776</v>
      </c>
      <c r="B18" s="1">
        <v>42011</v>
      </c>
      <c r="C18">
        <v>655</v>
      </c>
    </row>
    <row r="19" spans="1:3">
      <c r="A19">
        <v>777</v>
      </c>
      <c r="B19" s="1">
        <v>42011</v>
      </c>
      <c r="C19">
        <v>675</v>
      </c>
    </row>
    <row r="20" spans="1:3">
      <c r="A20">
        <v>778</v>
      </c>
      <c r="B20" s="1">
        <v>42011</v>
      </c>
      <c r="C20">
        <v>697</v>
      </c>
    </row>
    <row r="21" spans="1:3">
      <c r="A21">
        <v>779</v>
      </c>
      <c r="B21" s="1">
        <v>42011</v>
      </c>
      <c r="C21">
        <v>721</v>
      </c>
    </row>
    <row r="22" spans="1:3">
      <c r="A22">
        <v>780</v>
      </c>
      <c r="B22" s="1">
        <v>42011</v>
      </c>
      <c r="C22">
        <v>746</v>
      </c>
    </row>
    <row r="23" spans="1:3">
      <c r="A23">
        <v>781</v>
      </c>
      <c r="B23" s="1">
        <v>42011</v>
      </c>
      <c r="C23">
        <v>775</v>
      </c>
    </row>
    <row r="24" spans="1:3">
      <c r="A24">
        <v>782</v>
      </c>
      <c r="B24" s="1">
        <v>42011</v>
      </c>
      <c r="C24">
        <v>805</v>
      </c>
    </row>
    <row r="25" spans="1:3">
      <c r="A25">
        <v>783</v>
      </c>
      <c r="B25" s="1">
        <v>42011</v>
      </c>
      <c r="C25">
        <v>839</v>
      </c>
    </row>
    <row r="26" spans="1:3">
      <c r="A26">
        <v>784</v>
      </c>
      <c r="B26" s="1">
        <v>42011</v>
      </c>
      <c r="C26">
        <v>876</v>
      </c>
    </row>
    <row r="27" spans="1:3">
      <c r="A27">
        <v>785</v>
      </c>
      <c r="B27" s="1">
        <v>42011</v>
      </c>
      <c r="C27">
        <v>916</v>
      </c>
    </row>
    <row r="28" spans="1:3">
      <c r="A28">
        <v>786</v>
      </c>
      <c r="B28" s="1">
        <v>42011</v>
      </c>
      <c r="C28">
        <v>960</v>
      </c>
    </row>
    <row r="29" spans="1:3">
      <c r="A29">
        <v>787</v>
      </c>
      <c r="B29" s="1">
        <v>42011</v>
      </c>
      <c r="C29">
        <v>1010</v>
      </c>
    </row>
    <row r="30" spans="1:3">
      <c r="A30">
        <v>788</v>
      </c>
      <c r="B30" s="1">
        <v>42011</v>
      </c>
      <c r="C30">
        <v>1064</v>
      </c>
    </row>
    <row r="31" spans="1:3">
      <c r="A31">
        <v>789</v>
      </c>
      <c r="B31" s="1">
        <v>42011</v>
      </c>
      <c r="C31">
        <v>1126</v>
      </c>
    </row>
    <row r="32" spans="1:3">
      <c r="A32">
        <v>790</v>
      </c>
      <c r="B32" s="1">
        <v>42011</v>
      </c>
      <c r="C32">
        <v>1195</v>
      </c>
    </row>
    <row r="33" spans="1:3">
      <c r="A33">
        <v>791</v>
      </c>
      <c r="B33" s="1">
        <v>42011</v>
      </c>
      <c r="C33">
        <v>1274</v>
      </c>
    </row>
    <row r="34" spans="1:3">
      <c r="A34">
        <v>792</v>
      </c>
      <c r="B34" s="1">
        <v>42011</v>
      </c>
      <c r="C34">
        <v>1365</v>
      </c>
    </row>
    <row r="35" spans="1:3">
      <c r="A35">
        <v>793</v>
      </c>
      <c r="B35" s="1">
        <v>42011</v>
      </c>
      <c r="C35">
        <v>1474</v>
      </c>
    </row>
    <row r="36" spans="1:3">
      <c r="A36">
        <v>794</v>
      </c>
      <c r="B36" s="1">
        <v>42011</v>
      </c>
      <c r="C36">
        <v>1604</v>
      </c>
    </row>
    <row r="37" spans="1:3">
      <c r="A37">
        <v>795</v>
      </c>
      <c r="B37" s="1">
        <v>42011</v>
      </c>
      <c r="C37">
        <v>1760</v>
      </c>
    </row>
    <row r="38" spans="1:3">
      <c r="A38">
        <v>796</v>
      </c>
      <c r="B38" s="1">
        <v>42011</v>
      </c>
      <c r="C38">
        <v>1950</v>
      </c>
    </row>
    <row r="39" spans="1:3">
      <c r="A39">
        <v>797</v>
      </c>
      <c r="B39" s="1">
        <v>42011</v>
      </c>
      <c r="C39">
        <v>2188</v>
      </c>
    </row>
    <row r="40" spans="1:3">
      <c r="A40">
        <v>798</v>
      </c>
      <c r="B40" s="1">
        <v>42011</v>
      </c>
      <c r="C40">
        <v>2494</v>
      </c>
    </row>
    <row r="41" spans="1:3">
      <c r="A41">
        <v>799</v>
      </c>
      <c r="B41" s="1">
        <v>42011</v>
      </c>
      <c r="C41">
        <v>2901</v>
      </c>
    </row>
    <row r="42" spans="1:3">
      <c r="A42">
        <v>800</v>
      </c>
      <c r="B42" s="1">
        <v>42011</v>
      </c>
      <c r="C42">
        <v>3472</v>
      </c>
    </row>
    <row r="43" spans="1:3">
      <c r="A43">
        <v>801</v>
      </c>
      <c r="B43" s="1">
        <v>42011</v>
      </c>
      <c r="C43">
        <v>4328</v>
      </c>
    </row>
    <row r="44" spans="1:3">
      <c r="A44">
        <v>802</v>
      </c>
      <c r="B44" s="1">
        <v>42011</v>
      </c>
      <c r="C44">
        <v>5753</v>
      </c>
    </row>
    <row r="45" spans="1:3">
      <c r="A45">
        <v>803</v>
      </c>
      <c r="B45" s="1">
        <v>42011</v>
      </c>
      <c r="C45">
        <v>8602</v>
      </c>
    </row>
    <row r="46" spans="1:3">
      <c r="A46">
        <v>804</v>
      </c>
      <c r="B46" s="1">
        <v>42011</v>
      </c>
      <c r="C46">
        <v>17132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C46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5.875" bestFit="1" customWidth="1"/>
  </cols>
  <sheetData>
    <row r="1" spans="1:3">
      <c r="A1">
        <v>660</v>
      </c>
      <c r="B1" s="1">
        <v>42381</v>
      </c>
      <c r="C1">
        <v>240</v>
      </c>
    </row>
    <row r="2" spans="1:3">
      <c r="A2">
        <v>672</v>
      </c>
      <c r="B2" s="1">
        <v>42381</v>
      </c>
      <c r="C2">
        <v>254</v>
      </c>
    </row>
    <row r="3" spans="1:3">
      <c r="A3">
        <v>684</v>
      </c>
      <c r="B3" s="1">
        <v>42381</v>
      </c>
      <c r="C3">
        <v>270</v>
      </c>
    </row>
    <row r="4" spans="1:3">
      <c r="A4">
        <v>696</v>
      </c>
      <c r="B4" s="1">
        <v>42381</v>
      </c>
      <c r="C4">
        <v>291</v>
      </c>
    </row>
    <row r="5" spans="1:3">
      <c r="A5">
        <v>708</v>
      </c>
      <c r="B5" s="1">
        <v>42381</v>
      </c>
      <c r="C5">
        <v>316</v>
      </c>
    </row>
    <row r="6" spans="1:3">
      <c r="A6">
        <v>720</v>
      </c>
      <c r="B6" s="1">
        <v>42381</v>
      </c>
      <c r="C6">
        <v>349</v>
      </c>
    </row>
    <row r="7" spans="1:3">
      <c r="A7">
        <v>732</v>
      </c>
      <c r="B7" s="1">
        <v>42381</v>
      </c>
      <c r="C7">
        <v>392</v>
      </c>
    </row>
    <row r="8" spans="1:3">
      <c r="A8">
        <v>744</v>
      </c>
      <c r="B8" s="1">
        <v>42381</v>
      </c>
      <c r="C8">
        <v>452</v>
      </c>
    </row>
    <row r="9" spans="1:3">
      <c r="A9">
        <v>756</v>
      </c>
      <c r="B9" s="1">
        <v>42381</v>
      </c>
      <c r="C9">
        <v>541</v>
      </c>
    </row>
    <row r="10" spans="1:3">
      <c r="A10">
        <v>768</v>
      </c>
      <c r="B10" s="1">
        <v>42381</v>
      </c>
      <c r="C10">
        <v>686</v>
      </c>
    </row>
    <row r="11" spans="1:3">
      <c r="A11">
        <v>769</v>
      </c>
      <c r="B11" s="1">
        <v>42381</v>
      </c>
      <c r="C11">
        <v>702</v>
      </c>
    </row>
    <row r="12" spans="1:3">
      <c r="A12">
        <v>770</v>
      </c>
      <c r="B12" s="1">
        <v>42381</v>
      </c>
      <c r="C12">
        <v>720</v>
      </c>
    </row>
    <row r="13" spans="1:3">
      <c r="A13">
        <v>771</v>
      </c>
      <c r="B13" s="1">
        <v>42381</v>
      </c>
      <c r="C13">
        <v>738</v>
      </c>
    </row>
    <row r="14" spans="1:3">
      <c r="A14">
        <v>772</v>
      </c>
      <c r="B14" s="1">
        <v>42381</v>
      </c>
      <c r="C14">
        <v>757</v>
      </c>
    </row>
    <row r="15" spans="1:3">
      <c r="A15">
        <v>773</v>
      </c>
      <c r="B15" s="1">
        <v>42381</v>
      </c>
      <c r="C15">
        <v>778</v>
      </c>
    </row>
    <row r="16" spans="1:3">
      <c r="A16">
        <v>774</v>
      </c>
      <c r="B16" s="1">
        <v>42381</v>
      </c>
      <c r="C16">
        <v>799</v>
      </c>
    </row>
    <row r="17" spans="1:3">
      <c r="A17">
        <v>775</v>
      </c>
      <c r="B17" s="1">
        <v>42381</v>
      </c>
      <c r="C17">
        <v>822</v>
      </c>
    </row>
    <row r="18" spans="1:3">
      <c r="A18">
        <v>776</v>
      </c>
      <c r="B18" s="1">
        <v>42381</v>
      </c>
      <c r="C18">
        <v>847</v>
      </c>
    </row>
    <row r="19" spans="1:3">
      <c r="A19">
        <v>777</v>
      </c>
      <c r="B19" s="1">
        <v>42381</v>
      </c>
      <c r="C19">
        <v>873</v>
      </c>
    </row>
    <row r="20" spans="1:3">
      <c r="A20">
        <v>778</v>
      </c>
      <c r="B20" s="1">
        <v>42381</v>
      </c>
      <c r="C20">
        <v>902</v>
      </c>
    </row>
    <row r="21" spans="1:3">
      <c r="A21">
        <v>779</v>
      </c>
      <c r="B21" s="1">
        <v>42381</v>
      </c>
      <c r="C21">
        <v>932</v>
      </c>
    </row>
    <row r="22" spans="1:3">
      <c r="A22">
        <v>780</v>
      </c>
      <c r="B22" s="1">
        <v>42381</v>
      </c>
      <c r="C22">
        <v>965</v>
      </c>
    </row>
    <row r="23" spans="1:3">
      <c r="A23">
        <v>781</v>
      </c>
      <c r="B23" s="1">
        <v>42381</v>
      </c>
      <c r="C23">
        <v>1000</v>
      </c>
    </row>
    <row r="24" spans="1:3">
      <c r="A24">
        <v>782</v>
      </c>
      <c r="B24" s="1">
        <v>42381</v>
      </c>
      <c r="C24">
        <v>1038</v>
      </c>
    </row>
    <row r="25" spans="1:3">
      <c r="A25">
        <v>783</v>
      </c>
      <c r="B25" s="1">
        <v>42381</v>
      </c>
      <c r="C25">
        <v>1080</v>
      </c>
    </row>
    <row r="26" spans="1:3">
      <c r="A26">
        <v>784</v>
      </c>
      <c r="B26" s="1">
        <v>42381</v>
      </c>
      <c r="C26">
        <v>1125</v>
      </c>
    </row>
    <row r="27" spans="1:3">
      <c r="A27">
        <v>785</v>
      </c>
      <c r="B27" s="1">
        <v>42381</v>
      </c>
      <c r="C27">
        <v>1175</v>
      </c>
    </row>
    <row r="28" spans="1:3">
      <c r="A28">
        <v>786</v>
      </c>
      <c r="B28" s="1">
        <v>42381</v>
      </c>
      <c r="C28">
        <v>1229</v>
      </c>
    </row>
    <row r="29" spans="1:3">
      <c r="A29">
        <v>787</v>
      </c>
      <c r="B29" s="1">
        <v>42381</v>
      </c>
      <c r="C29">
        <v>1290</v>
      </c>
    </row>
    <row r="30" spans="1:3">
      <c r="A30">
        <v>788</v>
      </c>
      <c r="B30" s="1">
        <v>42381</v>
      </c>
      <c r="C30">
        <v>1357</v>
      </c>
    </row>
    <row r="31" spans="1:3">
      <c r="A31">
        <v>789</v>
      </c>
      <c r="B31" s="1">
        <v>42381</v>
      </c>
      <c r="C31">
        <v>1432</v>
      </c>
    </row>
    <row r="32" spans="1:3">
      <c r="A32">
        <v>790</v>
      </c>
      <c r="B32" s="1">
        <v>42381</v>
      </c>
      <c r="C32">
        <v>1516</v>
      </c>
    </row>
    <row r="33" spans="1:3">
      <c r="A33">
        <v>791</v>
      </c>
      <c r="B33" s="1">
        <v>42381</v>
      </c>
      <c r="C33">
        <v>1611</v>
      </c>
    </row>
    <row r="34" spans="1:3">
      <c r="A34">
        <v>792</v>
      </c>
      <c r="B34" s="1">
        <v>42381</v>
      </c>
      <c r="C34">
        <v>1720</v>
      </c>
    </row>
    <row r="35" spans="1:3">
      <c r="A35">
        <v>793</v>
      </c>
      <c r="B35" s="1">
        <v>42381</v>
      </c>
      <c r="C35">
        <v>1846</v>
      </c>
    </row>
    <row r="36" spans="1:3">
      <c r="A36">
        <v>794</v>
      </c>
      <c r="B36" s="1">
        <v>42381</v>
      </c>
      <c r="C36">
        <v>1993</v>
      </c>
    </row>
    <row r="37" spans="1:3">
      <c r="A37">
        <v>795</v>
      </c>
      <c r="B37" s="1">
        <v>42381</v>
      </c>
      <c r="C37">
        <v>2167</v>
      </c>
    </row>
    <row r="38" spans="1:3">
      <c r="A38">
        <v>796</v>
      </c>
      <c r="B38" s="1">
        <v>42381</v>
      </c>
      <c r="C38">
        <v>2376</v>
      </c>
    </row>
    <row r="39" spans="1:3">
      <c r="A39">
        <v>797</v>
      </c>
      <c r="B39" s="1">
        <v>42381</v>
      </c>
      <c r="C39">
        <v>2631</v>
      </c>
    </row>
    <row r="40" spans="1:3">
      <c r="A40">
        <v>798</v>
      </c>
      <c r="B40" s="1">
        <v>42381</v>
      </c>
      <c r="C40">
        <v>2950</v>
      </c>
    </row>
    <row r="41" spans="1:3">
      <c r="A41">
        <v>799</v>
      </c>
      <c r="B41" s="1">
        <v>42381</v>
      </c>
      <c r="C41">
        <v>3361</v>
      </c>
    </row>
    <row r="42" spans="1:3">
      <c r="A42">
        <v>800</v>
      </c>
      <c r="B42" s="1">
        <v>42381</v>
      </c>
      <c r="C42">
        <v>3907</v>
      </c>
    </row>
    <row r="43" spans="1:3">
      <c r="A43">
        <v>801</v>
      </c>
      <c r="B43" s="1">
        <v>42381</v>
      </c>
      <c r="C43">
        <v>4673</v>
      </c>
    </row>
    <row r="44" spans="1:3">
      <c r="A44">
        <v>802</v>
      </c>
      <c r="B44" s="1">
        <v>42381</v>
      </c>
      <c r="C44">
        <v>5821</v>
      </c>
    </row>
    <row r="45" spans="1:3">
      <c r="A45">
        <v>803</v>
      </c>
      <c r="B45" s="1">
        <v>42381</v>
      </c>
      <c r="C45">
        <v>7734</v>
      </c>
    </row>
    <row r="46" spans="1:3">
      <c r="A46">
        <v>804</v>
      </c>
      <c r="B46" s="1">
        <v>42381</v>
      </c>
      <c r="C46">
        <v>11559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C46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4.875" bestFit="1" customWidth="1"/>
  </cols>
  <sheetData>
    <row r="1" spans="1:3">
      <c r="A1">
        <v>660</v>
      </c>
      <c r="B1" s="1">
        <v>42381</v>
      </c>
      <c r="C1">
        <v>238</v>
      </c>
    </row>
    <row r="2" spans="1:3">
      <c r="A2">
        <v>672</v>
      </c>
      <c r="B2" s="1">
        <v>42381</v>
      </c>
      <c r="C2">
        <v>252</v>
      </c>
    </row>
    <row r="3" spans="1:3">
      <c r="A3">
        <v>684</v>
      </c>
      <c r="B3" s="1">
        <v>42381</v>
      </c>
      <c r="C3">
        <v>268</v>
      </c>
    </row>
    <row r="4" spans="1:3">
      <c r="A4">
        <v>696</v>
      </c>
      <c r="B4" s="1">
        <v>42381</v>
      </c>
      <c r="C4">
        <v>288</v>
      </c>
    </row>
    <row r="5" spans="1:3">
      <c r="A5">
        <v>708</v>
      </c>
      <c r="B5" s="1">
        <v>42381</v>
      </c>
      <c r="C5">
        <v>313</v>
      </c>
    </row>
    <row r="6" spans="1:3">
      <c r="A6">
        <v>720</v>
      </c>
      <c r="B6" s="1">
        <v>42381</v>
      </c>
      <c r="C6">
        <v>345</v>
      </c>
    </row>
    <row r="7" spans="1:3">
      <c r="A7">
        <v>732</v>
      </c>
      <c r="B7" s="1">
        <v>42381</v>
      </c>
      <c r="C7">
        <v>387</v>
      </c>
    </row>
    <row r="8" spans="1:3">
      <c r="A8">
        <v>744</v>
      </c>
      <c r="B8" s="1">
        <v>42381</v>
      </c>
      <c r="C8">
        <v>445</v>
      </c>
    </row>
    <row r="9" spans="1:3">
      <c r="A9">
        <v>756</v>
      </c>
      <c r="B9" s="1">
        <v>42381</v>
      </c>
      <c r="C9">
        <v>531</v>
      </c>
    </row>
    <row r="10" spans="1:3">
      <c r="A10">
        <v>768</v>
      </c>
      <c r="B10" s="1">
        <v>42381</v>
      </c>
      <c r="C10">
        <v>669</v>
      </c>
    </row>
    <row r="11" spans="1:3">
      <c r="A11">
        <v>769</v>
      </c>
      <c r="B11" s="1">
        <v>42381</v>
      </c>
      <c r="C11">
        <v>684</v>
      </c>
    </row>
    <row r="12" spans="1:3">
      <c r="A12">
        <v>770</v>
      </c>
      <c r="B12" s="1">
        <v>42381</v>
      </c>
      <c r="C12">
        <v>700</v>
      </c>
    </row>
    <row r="13" spans="1:3">
      <c r="A13">
        <v>771</v>
      </c>
      <c r="B13" s="1">
        <v>42381</v>
      </c>
      <c r="C13">
        <v>718</v>
      </c>
    </row>
    <row r="14" spans="1:3">
      <c r="A14">
        <v>772</v>
      </c>
      <c r="B14" s="1">
        <v>42381</v>
      </c>
      <c r="C14">
        <v>736</v>
      </c>
    </row>
    <row r="15" spans="1:3">
      <c r="A15">
        <v>773</v>
      </c>
      <c r="B15" s="1">
        <v>42381</v>
      </c>
      <c r="C15">
        <v>755</v>
      </c>
    </row>
    <row r="16" spans="1:3">
      <c r="A16">
        <v>774</v>
      </c>
      <c r="B16" s="1">
        <v>42381</v>
      </c>
      <c r="C16">
        <v>775</v>
      </c>
    </row>
    <row r="17" spans="1:3">
      <c r="A17">
        <v>775</v>
      </c>
      <c r="B17" s="1">
        <v>42381</v>
      </c>
      <c r="C17">
        <v>797</v>
      </c>
    </row>
    <row r="18" spans="1:3">
      <c r="A18">
        <v>776</v>
      </c>
      <c r="B18" s="1">
        <v>42381</v>
      </c>
      <c r="C18">
        <v>820</v>
      </c>
    </row>
    <row r="19" spans="1:3">
      <c r="A19">
        <v>777</v>
      </c>
      <c r="B19" s="1">
        <v>42381</v>
      </c>
      <c r="C19">
        <v>845</v>
      </c>
    </row>
    <row r="20" spans="1:3">
      <c r="A20">
        <v>778</v>
      </c>
      <c r="B20" s="1">
        <v>42381</v>
      </c>
      <c r="C20">
        <v>871</v>
      </c>
    </row>
    <row r="21" spans="1:3">
      <c r="A21">
        <v>779</v>
      </c>
      <c r="B21" s="1">
        <v>42381</v>
      </c>
      <c r="C21">
        <v>899</v>
      </c>
    </row>
    <row r="22" spans="1:3">
      <c r="A22">
        <v>780</v>
      </c>
      <c r="B22" s="1">
        <v>42381</v>
      </c>
      <c r="C22">
        <v>929</v>
      </c>
    </row>
    <row r="23" spans="1:3">
      <c r="A23">
        <v>781</v>
      </c>
      <c r="B23" s="1">
        <v>42381</v>
      </c>
      <c r="C23">
        <v>962</v>
      </c>
    </row>
    <row r="24" spans="1:3">
      <c r="A24">
        <v>782</v>
      </c>
      <c r="B24" s="1">
        <v>42381</v>
      </c>
      <c r="C24">
        <v>997</v>
      </c>
    </row>
    <row r="25" spans="1:3">
      <c r="A25">
        <v>783</v>
      </c>
      <c r="B25" s="1">
        <v>42381</v>
      </c>
      <c r="C25">
        <v>1035</v>
      </c>
    </row>
    <row r="26" spans="1:3">
      <c r="A26">
        <v>784</v>
      </c>
      <c r="B26" s="1">
        <v>42381</v>
      </c>
      <c r="C26">
        <v>1076</v>
      </c>
    </row>
    <row r="27" spans="1:3">
      <c r="A27">
        <v>785</v>
      </c>
      <c r="B27" s="1">
        <v>42381</v>
      </c>
      <c r="C27">
        <v>1122</v>
      </c>
    </row>
    <row r="28" spans="1:3">
      <c r="A28">
        <v>786</v>
      </c>
      <c r="B28" s="1">
        <v>42381</v>
      </c>
      <c r="C28">
        <v>1171</v>
      </c>
    </row>
    <row r="29" spans="1:3">
      <c r="A29">
        <v>787</v>
      </c>
      <c r="B29" s="1">
        <v>42381</v>
      </c>
      <c r="C29">
        <v>1226</v>
      </c>
    </row>
    <row r="30" spans="1:3">
      <c r="A30">
        <v>788</v>
      </c>
      <c r="B30" s="1">
        <v>42381</v>
      </c>
      <c r="C30">
        <v>1286</v>
      </c>
    </row>
    <row r="31" spans="1:3">
      <c r="A31">
        <v>789</v>
      </c>
      <c r="B31" s="1">
        <v>42381</v>
      </c>
      <c r="C31">
        <v>1352</v>
      </c>
    </row>
    <row r="32" spans="1:3">
      <c r="A32">
        <v>790</v>
      </c>
      <c r="B32" s="1">
        <v>42381</v>
      </c>
      <c r="C32">
        <v>1427</v>
      </c>
    </row>
    <row r="33" spans="1:3">
      <c r="A33">
        <v>791</v>
      </c>
      <c r="B33" s="1">
        <v>42381</v>
      </c>
      <c r="C33">
        <v>1511</v>
      </c>
    </row>
    <row r="34" spans="1:3">
      <c r="A34">
        <v>792</v>
      </c>
      <c r="B34" s="1">
        <v>42381</v>
      </c>
      <c r="C34">
        <v>1606</v>
      </c>
    </row>
    <row r="35" spans="1:3">
      <c r="A35">
        <v>793</v>
      </c>
      <c r="B35" s="1">
        <v>42381</v>
      </c>
      <c r="C35">
        <v>1715</v>
      </c>
    </row>
    <row r="36" spans="1:3">
      <c r="A36">
        <v>794</v>
      </c>
      <c r="B36" s="1">
        <v>42381</v>
      </c>
      <c r="C36">
        <v>1841</v>
      </c>
    </row>
    <row r="37" spans="1:3">
      <c r="A37">
        <v>795</v>
      </c>
      <c r="B37" s="1">
        <v>42381</v>
      </c>
      <c r="C37">
        <v>1987</v>
      </c>
    </row>
    <row r="38" spans="1:3">
      <c r="A38">
        <v>796</v>
      </c>
      <c r="B38" s="1">
        <v>42381</v>
      </c>
      <c r="C38">
        <v>2161</v>
      </c>
    </row>
    <row r="39" spans="1:3">
      <c r="A39">
        <v>797</v>
      </c>
      <c r="B39" s="1">
        <v>42381</v>
      </c>
      <c r="C39">
        <v>2369</v>
      </c>
    </row>
    <row r="40" spans="1:3">
      <c r="A40">
        <v>798</v>
      </c>
      <c r="B40" s="1">
        <v>42381</v>
      </c>
      <c r="C40">
        <v>2623</v>
      </c>
    </row>
    <row r="41" spans="1:3">
      <c r="A41">
        <v>799</v>
      </c>
      <c r="B41" s="1">
        <v>42381</v>
      </c>
      <c r="C41">
        <v>2941</v>
      </c>
    </row>
    <row r="42" spans="1:3">
      <c r="A42">
        <v>800</v>
      </c>
      <c r="B42" s="1">
        <v>42381</v>
      </c>
      <c r="C42">
        <v>3350</v>
      </c>
    </row>
    <row r="43" spans="1:3">
      <c r="A43">
        <v>801</v>
      </c>
      <c r="B43" s="1">
        <v>42381</v>
      </c>
      <c r="C43">
        <v>3895</v>
      </c>
    </row>
    <row r="44" spans="1:3">
      <c r="A44">
        <v>802</v>
      </c>
      <c r="B44" s="1">
        <v>42381</v>
      </c>
      <c r="C44">
        <v>4657</v>
      </c>
    </row>
    <row r="45" spans="1:3">
      <c r="A45">
        <v>803</v>
      </c>
      <c r="B45" s="1">
        <v>42381</v>
      </c>
      <c r="C45">
        <v>5801</v>
      </c>
    </row>
    <row r="46" spans="1:3">
      <c r="A46">
        <v>804</v>
      </c>
      <c r="B46" s="1">
        <v>42381</v>
      </c>
      <c r="C46">
        <v>7706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C46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4.875" bestFit="1" customWidth="1"/>
  </cols>
  <sheetData>
    <row r="1" spans="1:3">
      <c r="A1">
        <v>660</v>
      </c>
      <c r="B1" s="1">
        <v>42381</v>
      </c>
      <c r="C1">
        <v>237</v>
      </c>
    </row>
    <row r="2" spans="1:3">
      <c r="A2">
        <v>672</v>
      </c>
      <c r="B2" s="1">
        <v>42381</v>
      </c>
      <c r="C2">
        <v>250</v>
      </c>
    </row>
    <row r="3" spans="1:3">
      <c r="A3">
        <v>684</v>
      </c>
      <c r="B3" s="1">
        <v>42381</v>
      </c>
      <c r="C3">
        <v>266</v>
      </c>
    </row>
    <row r="4" spans="1:3">
      <c r="A4">
        <v>696</v>
      </c>
      <c r="B4" s="1">
        <v>42381</v>
      </c>
      <c r="C4">
        <v>286</v>
      </c>
    </row>
    <row r="5" spans="1:3">
      <c r="A5">
        <v>708</v>
      </c>
      <c r="B5" s="1">
        <v>42381</v>
      </c>
      <c r="C5">
        <v>310</v>
      </c>
    </row>
    <row r="6" spans="1:3">
      <c r="A6">
        <v>720</v>
      </c>
      <c r="B6" s="1">
        <v>42381</v>
      </c>
      <c r="C6">
        <v>341</v>
      </c>
    </row>
    <row r="7" spans="1:3">
      <c r="A7">
        <v>732</v>
      </c>
      <c r="B7" s="1">
        <v>42381</v>
      </c>
      <c r="C7">
        <v>382</v>
      </c>
    </row>
    <row r="8" spans="1:3">
      <c r="A8">
        <v>744</v>
      </c>
      <c r="B8" s="1">
        <v>42381</v>
      </c>
      <c r="C8">
        <v>438</v>
      </c>
    </row>
    <row r="9" spans="1:3">
      <c r="A9">
        <v>756</v>
      </c>
      <c r="B9" s="1">
        <v>42381</v>
      </c>
      <c r="C9">
        <v>521</v>
      </c>
    </row>
    <row r="10" spans="1:3">
      <c r="A10">
        <v>768</v>
      </c>
      <c r="B10" s="1">
        <v>42381</v>
      </c>
      <c r="C10">
        <v>652</v>
      </c>
    </row>
    <row r="11" spans="1:3">
      <c r="A11">
        <v>769</v>
      </c>
      <c r="B11" s="1">
        <v>42381</v>
      </c>
      <c r="C11">
        <v>667</v>
      </c>
    </row>
    <row r="12" spans="1:3">
      <c r="A12">
        <v>770</v>
      </c>
      <c r="B12" s="1">
        <v>42381</v>
      </c>
      <c r="C12">
        <v>682</v>
      </c>
    </row>
    <row r="13" spans="1:3">
      <c r="A13">
        <v>771</v>
      </c>
      <c r="B13" s="1">
        <v>42381</v>
      </c>
      <c r="C13">
        <v>698</v>
      </c>
    </row>
    <row r="14" spans="1:3">
      <c r="A14">
        <v>772</v>
      </c>
      <c r="B14" s="1">
        <v>42381</v>
      </c>
      <c r="C14">
        <v>715</v>
      </c>
    </row>
    <row r="15" spans="1:3">
      <c r="A15">
        <v>773</v>
      </c>
      <c r="B15" s="1">
        <v>42381</v>
      </c>
      <c r="C15">
        <v>734</v>
      </c>
    </row>
    <row r="16" spans="1:3">
      <c r="A16">
        <v>774</v>
      </c>
      <c r="B16" s="1">
        <v>42381</v>
      </c>
      <c r="C16">
        <v>753</v>
      </c>
    </row>
    <row r="17" spans="1:3">
      <c r="A17">
        <v>775</v>
      </c>
      <c r="B17" s="1">
        <v>42381</v>
      </c>
      <c r="C17">
        <v>773</v>
      </c>
    </row>
    <row r="18" spans="1:3">
      <c r="A18">
        <v>776</v>
      </c>
      <c r="B18" s="1">
        <v>42381</v>
      </c>
      <c r="C18">
        <v>795</v>
      </c>
    </row>
    <row r="19" spans="1:3">
      <c r="A19">
        <v>777</v>
      </c>
      <c r="B19" s="1">
        <v>42381</v>
      </c>
      <c r="C19">
        <v>818</v>
      </c>
    </row>
    <row r="20" spans="1:3">
      <c r="A20">
        <v>778</v>
      </c>
      <c r="B20" s="1">
        <v>42381</v>
      </c>
      <c r="C20">
        <v>842</v>
      </c>
    </row>
    <row r="21" spans="1:3">
      <c r="A21">
        <v>779</v>
      </c>
      <c r="B21" s="1">
        <v>42381</v>
      </c>
      <c r="C21">
        <v>868</v>
      </c>
    </row>
    <row r="22" spans="1:3">
      <c r="A22">
        <v>780</v>
      </c>
      <c r="B22" s="1">
        <v>42381</v>
      </c>
      <c r="C22">
        <v>896</v>
      </c>
    </row>
    <row r="23" spans="1:3">
      <c r="A23">
        <v>781</v>
      </c>
      <c r="B23" s="1">
        <v>42381</v>
      </c>
      <c r="C23">
        <v>926</v>
      </c>
    </row>
    <row r="24" spans="1:3">
      <c r="A24">
        <v>782</v>
      </c>
      <c r="B24" s="1">
        <v>42381</v>
      </c>
      <c r="C24">
        <v>959</v>
      </c>
    </row>
    <row r="25" spans="1:3">
      <c r="A25">
        <v>783</v>
      </c>
      <c r="B25" s="1">
        <v>42381</v>
      </c>
      <c r="C25">
        <v>994</v>
      </c>
    </row>
    <row r="26" spans="1:3">
      <c r="A26">
        <v>784</v>
      </c>
      <c r="B26" s="1">
        <v>42381</v>
      </c>
      <c r="C26">
        <v>1032</v>
      </c>
    </row>
    <row r="27" spans="1:3">
      <c r="A27">
        <v>785</v>
      </c>
      <c r="B27" s="1">
        <v>42381</v>
      </c>
      <c r="C27">
        <v>1073</v>
      </c>
    </row>
    <row r="28" spans="1:3">
      <c r="A28">
        <v>786</v>
      </c>
      <c r="B28" s="1">
        <v>42381</v>
      </c>
      <c r="C28">
        <v>1118</v>
      </c>
    </row>
    <row r="29" spans="1:3">
      <c r="A29">
        <v>787</v>
      </c>
      <c r="B29" s="1">
        <v>42381</v>
      </c>
      <c r="C29">
        <v>1168</v>
      </c>
    </row>
    <row r="30" spans="1:3">
      <c r="A30">
        <v>788</v>
      </c>
      <c r="B30" s="1">
        <v>42381</v>
      </c>
      <c r="C30">
        <v>1222</v>
      </c>
    </row>
    <row r="31" spans="1:3">
      <c r="A31">
        <v>789</v>
      </c>
      <c r="B31" s="1">
        <v>42381</v>
      </c>
      <c r="C31">
        <v>1282</v>
      </c>
    </row>
    <row r="32" spans="1:3">
      <c r="A32">
        <v>790</v>
      </c>
      <c r="B32" s="1">
        <v>42381</v>
      </c>
      <c r="C32">
        <v>1348</v>
      </c>
    </row>
    <row r="33" spans="1:3">
      <c r="A33">
        <v>791</v>
      </c>
      <c r="B33" s="1">
        <v>42381</v>
      </c>
      <c r="C33">
        <v>1422</v>
      </c>
    </row>
    <row r="34" spans="1:3">
      <c r="A34">
        <v>792</v>
      </c>
      <c r="B34" s="1">
        <v>42381</v>
      </c>
      <c r="C34">
        <v>1506</v>
      </c>
    </row>
    <row r="35" spans="1:3">
      <c r="A35">
        <v>793</v>
      </c>
      <c r="B35" s="1">
        <v>42381</v>
      </c>
      <c r="C35">
        <v>1601</v>
      </c>
    </row>
    <row r="36" spans="1:3">
      <c r="A36">
        <v>794</v>
      </c>
      <c r="B36" s="1">
        <v>42381</v>
      </c>
      <c r="C36">
        <v>1710</v>
      </c>
    </row>
    <row r="37" spans="1:3">
      <c r="A37">
        <v>795</v>
      </c>
      <c r="B37" s="1">
        <v>42381</v>
      </c>
      <c r="C37">
        <v>1835</v>
      </c>
    </row>
    <row r="38" spans="1:3">
      <c r="A38">
        <v>796</v>
      </c>
      <c r="B38" s="1">
        <v>42381</v>
      </c>
      <c r="C38">
        <v>1981</v>
      </c>
    </row>
    <row r="39" spans="1:3">
      <c r="A39">
        <v>797</v>
      </c>
      <c r="B39" s="1">
        <v>42381</v>
      </c>
      <c r="C39">
        <v>2154</v>
      </c>
    </row>
    <row r="40" spans="1:3">
      <c r="A40">
        <v>798</v>
      </c>
      <c r="B40" s="1">
        <v>42381</v>
      </c>
      <c r="C40">
        <v>2361</v>
      </c>
    </row>
    <row r="41" spans="1:3">
      <c r="A41">
        <v>799</v>
      </c>
      <c r="B41" s="1">
        <v>42381</v>
      </c>
      <c r="C41">
        <v>2615</v>
      </c>
    </row>
    <row r="42" spans="1:3">
      <c r="A42">
        <v>800</v>
      </c>
      <c r="B42" s="1">
        <v>42381</v>
      </c>
      <c r="C42">
        <v>2932</v>
      </c>
    </row>
    <row r="43" spans="1:3">
      <c r="A43">
        <v>801</v>
      </c>
      <c r="B43" s="1">
        <v>42381</v>
      </c>
      <c r="C43">
        <v>3339</v>
      </c>
    </row>
    <row r="44" spans="1:3">
      <c r="A44">
        <v>802</v>
      </c>
      <c r="B44" s="1">
        <v>42381</v>
      </c>
      <c r="C44">
        <v>3881</v>
      </c>
    </row>
    <row r="45" spans="1:3">
      <c r="A45">
        <v>803</v>
      </c>
      <c r="B45" s="1">
        <v>42381</v>
      </c>
      <c r="C45">
        <v>4641</v>
      </c>
    </row>
    <row r="46" spans="1:3">
      <c r="A46">
        <v>804</v>
      </c>
      <c r="B46" s="1">
        <v>42381</v>
      </c>
      <c r="C46">
        <v>5780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C46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4.875" bestFit="1" customWidth="1"/>
  </cols>
  <sheetData>
    <row r="1" spans="1:3">
      <c r="A1">
        <v>660</v>
      </c>
      <c r="B1" s="1">
        <v>42381</v>
      </c>
      <c r="C1">
        <v>235</v>
      </c>
    </row>
    <row r="2" spans="1:3">
      <c r="A2">
        <v>672</v>
      </c>
      <c r="B2" s="1">
        <v>42381</v>
      </c>
      <c r="C2">
        <v>248</v>
      </c>
    </row>
    <row r="3" spans="1:3">
      <c r="A3">
        <v>684</v>
      </c>
      <c r="B3" s="1">
        <v>42381</v>
      </c>
      <c r="C3">
        <v>264</v>
      </c>
    </row>
    <row r="4" spans="1:3">
      <c r="A4">
        <v>696</v>
      </c>
      <c r="B4" s="1">
        <v>42381</v>
      </c>
      <c r="C4">
        <v>283</v>
      </c>
    </row>
    <row r="5" spans="1:3">
      <c r="A5">
        <v>708</v>
      </c>
      <c r="B5" s="1">
        <v>42381</v>
      </c>
      <c r="C5">
        <v>307</v>
      </c>
    </row>
    <row r="6" spans="1:3">
      <c r="A6">
        <v>720</v>
      </c>
      <c r="B6" s="1">
        <v>42381</v>
      </c>
      <c r="C6">
        <v>337</v>
      </c>
    </row>
    <row r="7" spans="1:3">
      <c r="A7">
        <v>732</v>
      </c>
      <c r="B7" s="1">
        <v>42381</v>
      </c>
      <c r="C7">
        <v>377</v>
      </c>
    </row>
    <row r="8" spans="1:3">
      <c r="A8">
        <v>744</v>
      </c>
      <c r="B8" s="1">
        <v>42381</v>
      </c>
      <c r="C8">
        <v>432</v>
      </c>
    </row>
    <row r="9" spans="1:3">
      <c r="A9">
        <v>756</v>
      </c>
      <c r="B9" s="1">
        <v>42381</v>
      </c>
      <c r="C9">
        <v>511</v>
      </c>
    </row>
    <row r="10" spans="1:3">
      <c r="A10">
        <v>768</v>
      </c>
      <c r="B10" s="1">
        <v>42381</v>
      </c>
      <c r="C10">
        <v>636</v>
      </c>
    </row>
    <row r="11" spans="1:3">
      <c r="A11">
        <v>769</v>
      </c>
      <c r="B11" s="1">
        <v>42381</v>
      </c>
      <c r="C11">
        <v>650</v>
      </c>
    </row>
    <row r="12" spans="1:3">
      <c r="A12">
        <v>770</v>
      </c>
      <c r="B12" s="1">
        <v>42381</v>
      </c>
      <c r="C12">
        <v>665</v>
      </c>
    </row>
    <row r="13" spans="1:3">
      <c r="A13">
        <v>771</v>
      </c>
      <c r="B13" s="1">
        <v>42381</v>
      </c>
      <c r="C13">
        <v>680</v>
      </c>
    </row>
    <row r="14" spans="1:3">
      <c r="A14">
        <v>772</v>
      </c>
      <c r="B14" s="1">
        <v>42381</v>
      </c>
      <c r="C14">
        <v>696</v>
      </c>
    </row>
    <row r="15" spans="1:3">
      <c r="A15">
        <v>773</v>
      </c>
      <c r="B15" s="1">
        <v>42381</v>
      </c>
      <c r="C15">
        <v>713</v>
      </c>
    </row>
    <row r="16" spans="1:3">
      <c r="A16">
        <v>774</v>
      </c>
      <c r="B16" s="1">
        <v>42381</v>
      </c>
      <c r="C16">
        <v>731</v>
      </c>
    </row>
    <row r="17" spans="1:3">
      <c r="A17">
        <v>775</v>
      </c>
      <c r="B17" s="1">
        <v>42381</v>
      </c>
      <c r="C17">
        <v>750</v>
      </c>
    </row>
    <row r="18" spans="1:3">
      <c r="A18">
        <v>776</v>
      </c>
      <c r="B18" s="1">
        <v>42381</v>
      </c>
      <c r="C18">
        <v>771</v>
      </c>
    </row>
    <row r="19" spans="1:3">
      <c r="A19">
        <v>777</v>
      </c>
      <c r="B19" s="1">
        <v>42381</v>
      </c>
      <c r="C19">
        <v>792</v>
      </c>
    </row>
    <row r="20" spans="1:3">
      <c r="A20">
        <v>778</v>
      </c>
      <c r="B20" s="1">
        <v>42381</v>
      </c>
      <c r="C20">
        <v>815</v>
      </c>
    </row>
    <row r="21" spans="1:3">
      <c r="A21">
        <v>779</v>
      </c>
      <c r="B21" s="1">
        <v>42381</v>
      </c>
      <c r="C21">
        <v>839</v>
      </c>
    </row>
    <row r="22" spans="1:3">
      <c r="A22">
        <v>780</v>
      </c>
      <c r="B22" s="1">
        <v>42381</v>
      </c>
      <c r="C22">
        <v>866</v>
      </c>
    </row>
    <row r="23" spans="1:3">
      <c r="A23">
        <v>781</v>
      </c>
      <c r="B23" s="1">
        <v>42381</v>
      </c>
      <c r="C23">
        <v>894</v>
      </c>
    </row>
    <row r="24" spans="1:3">
      <c r="A24">
        <v>782</v>
      </c>
      <c r="B24" s="1">
        <v>42381</v>
      </c>
      <c r="C24">
        <v>924</v>
      </c>
    </row>
    <row r="25" spans="1:3">
      <c r="A25">
        <v>783</v>
      </c>
      <c r="B25" s="1">
        <v>42381</v>
      </c>
      <c r="C25">
        <v>956</v>
      </c>
    </row>
    <row r="26" spans="1:3">
      <c r="A26">
        <v>784</v>
      </c>
      <c r="B26" s="1">
        <v>42381</v>
      </c>
      <c r="C26">
        <v>991</v>
      </c>
    </row>
    <row r="27" spans="1:3">
      <c r="A27">
        <v>785</v>
      </c>
      <c r="B27" s="1">
        <v>42381</v>
      </c>
      <c r="C27">
        <v>1029</v>
      </c>
    </row>
    <row r="28" spans="1:3">
      <c r="A28">
        <v>786</v>
      </c>
      <c r="B28" s="1">
        <v>42381</v>
      </c>
      <c r="C28">
        <v>1070</v>
      </c>
    </row>
    <row r="29" spans="1:3">
      <c r="A29">
        <v>787</v>
      </c>
      <c r="B29" s="1">
        <v>42381</v>
      </c>
      <c r="C29">
        <v>1115</v>
      </c>
    </row>
    <row r="30" spans="1:3">
      <c r="A30">
        <v>788</v>
      </c>
      <c r="B30" s="1">
        <v>42381</v>
      </c>
      <c r="C30">
        <v>1164</v>
      </c>
    </row>
    <row r="31" spans="1:3">
      <c r="A31">
        <v>789</v>
      </c>
      <c r="B31" s="1">
        <v>42381</v>
      </c>
      <c r="C31">
        <v>1218</v>
      </c>
    </row>
    <row r="32" spans="1:3">
      <c r="A32">
        <v>790</v>
      </c>
      <c r="B32" s="1">
        <v>42381</v>
      </c>
      <c r="C32">
        <v>1277</v>
      </c>
    </row>
    <row r="33" spans="1:3">
      <c r="A33">
        <v>791</v>
      </c>
      <c r="B33" s="1">
        <v>42381</v>
      </c>
      <c r="C33">
        <v>1344</v>
      </c>
    </row>
    <row r="34" spans="1:3">
      <c r="A34">
        <v>792</v>
      </c>
      <c r="B34" s="1">
        <v>42381</v>
      </c>
      <c r="C34">
        <v>1418</v>
      </c>
    </row>
    <row r="35" spans="1:3">
      <c r="A35">
        <v>793</v>
      </c>
      <c r="B35" s="1">
        <v>42381</v>
      </c>
      <c r="C35">
        <v>1501</v>
      </c>
    </row>
    <row r="36" spans="1:3">
      <c r="A36">
        <v>794</v>
      </c>
      <c r="B36" s="1">
        <v>42381</v>
      </c>
      <c r="C36">
        <v>1596</v>
      </c>
    </row>
    <row r="37" spans="1:3">
      <c r="A37">
        <v>795</v>
      </c>
      <c r="B37" s="1">
        <v>42381</v>
      </c>
      <c r="C37">
        <v>1704</v>
      </c>
    </row>
    <row r="38" spans="1:3">
      <c r="A38">
        <v>796</v>
      </c>
      <c r="B38" s="1">
        <v>42381</v>
      </c>
      <c r="C38">
        <v>1829</v>
      </c>
    </row>
    <row r="39" spans="1:3">
      <c r="A39">
        <v>797</v>
      </c>
      <c r="B39" s="1">
        <v>42381</v>
      </c>
      <c r="C39">
        <v>1975</v>
      </c>
    </row>
    <row r="40" spans="1:3">
      <c r="A40">
        <v>798</v>
      </c>
      <c r="B40" s="1">
        <v>42381</v>
      </c>
      <c r="C40">
        <v>2147</v>
      </c>
    </row>
    <row r="41" spans="1:3">
      <c r="A41">
        <v>799</v>
      </c>
      <c r="B41" s="1">
        <v>42381</v>
      </c>
      <c r="C41">
        <v>2354</v>
      </c>
    </row>
    <row r="42" spans="1:3">
      <c r="A42">
        <v>800</v>
      </c>
      <c r="B42" s="1">
        <v>42381</v>
      </c>
      <c r="C42">
        <v>2606</v>
      </c>
    </row>
    <row r="43" spans="1:3">
      <c r="A43">
        <v>801</v>
      </c>
      <c r="B43" s="1">
        <v>42381</v>
      </c>
      <c r="C43">
        <v>2922</v>
      </c>
    </row>
    <row r="44" spans="1:3">
      <c r="A44">
        <v>802</v>
      </c>
      <c r="B44" s="1">
        <v>42381</v>
      </c>
      <c r="C44">
        <v>3327</v>
      </c>
    </row>
    <row r="45" spans="1:3">
      <c r="A45">
        <v>803</v>
      </c>
      <c r="B45" s="1">
        <v>42381</v>
      </c>
      <c r="C45">
        <v>3868</v>
      </c>
    </row>
    <row r="46" spans="1:3">
      <c r="A46">
        <v>804</v>
      </c>
      <c r="B46" s="1">
        <v>42381</v>
      </c>
      <c r="C46">
        <v>4624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C46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4.875" bestFit="1" customWidth="1"/>
  </cols>
  <sheetData>
    <row r="1" spans="1:3">
      <c r="A1">
        <v>660</v>
      </c>
      <c r="B1" s="1">
        <v>42381</v>
      </c>
      <c r="C1">
        <v>234</v>
      </c>
    </row>
    <row r="2" spans="1:3">
      <c r="A2">
        <v>672</v>
      </c>
      <c r="B2" s="1">
        <v>42381</v>
      </c>
      <c r="C2">
        <v>247</v>
      </c>
    </row>
    <row r="3" spans="1:3">
      <c r="A3">
        <v>684</v>
      </c>
      <c r="B3" s="1">
        <v>42381</v>
      </c>
      <c r="C3">
        <v>262</v>
      </c>
    </row>
    <row r="4" spans="1:3">
      <c r="A4">
        <v>696</v>
      </c>
      <c r="B4" s="1">
        <v>42381</v>
      </c>
      <c r="C4">
        <v>281</v>
      </c>
    </row>
    <row r="5" spans="1:3">
      <c r="A5">
        <v>708</v>
      </c>
      <c r="B5" s="1">
        <v>42381</v>
      </c>
      <c r="C5">
        <v>304</v>
      </c>
    </row>
    <row r="6" spans="1:3">
      <c r="A6">
        <v>720</v>
      </c>
      <c r="B6" s="1">
        <v>42381</v>
      </c>
      <c r="C6">
        <v>334</v>
      </c>
    </row>
    <row r="7" spans="1:3">
      <c r="A7">
        <v>732</v>
      </c>
      <c r="B7" s="1">
        <v>42381</v>
      </c>
      <c r="C7">
        <v>372</v>
      </c>
    </row>
    <row r="8" spans="1:3">
      <c r="A8">
        <v>744</v>
      </c>
      <c r="B8" s="1">
        <v>42381</v>
      </c>
      <c r="C8">
        <v>425</v>
      </c>
    </row>
    <row r="9" spans="1:3">
      <c r="A9">
        <v>756</v>
      </c>
      <c r="B9" s="1">
        <v>42381</v>
      </c>
      <c r="C9">
        <v>501</v>
      </c>
    </row>
    <row r="10" spans="1:3">
      <c r="A10">
        <v>768</v>
      </c>
      <c r="B10" s="1">
        <v>42381</v>
      </c>
      <c r="C10">
        <v>621</v>
      </c>
    </row>
    <row r="11" spans="1:3">
      <c r="A11">
        <v>769</v>
      </c>
      <c r="B11" s="1">
        <v>42381</v>
      </c>
      <c r="C11">
        <v>634</v>
      </c>
    </row>
    <row r="12" spans="1:3">
      <c r="A12">
        <v>770</v>
      </c>
      <c r="B12" s="1">
        <v>42381</v>
      </c>
      <c r="C12">
        <v>648</v>
      </c>
    </row>
    <row r="13" spans="1:3">
      <c r="A13">
        <v>771</v>
      </c>
      <c r="B13" s="1">
        <v>42381</v>
      </c>
      <c r="C13">
        <v>663</v>
      </c>
    </row>
    <row r="14" spans="1:3">
      <c r="A14">
        <v>772</v>
      </c>
      <c r="B14" s="1">
        <v>42381</v>
      </c>
      <c r="C14">
        <v>678</v>
      </c>
    </row>
    <row r="15" spans="1:3">
      <c r="A15">
        <v>773</v>
      </c>
      <c r="B15" s="1">
        <v>42381</v>
      </c>
      <c r="C15">
        <v>694</v>
      </c>
    </row>
    <row r="16" spans="1:3">
      <c r="A16">
        <v>774</v>
      </c>
      <c r="B16" s="1">
        <v>42381</v>
      </c>
      <c r="C16">
        <v>711</v>
      </c>
    </row>
    <row r="17" spans="1:3">
      <c r="A17">
        <v>775</v>
      </c>
      <c r="B17" s="1">
        <v>42381</v>
      </c>
      <c r="C17">
        <v>729</v>
      </c>
    </row>
    <row r="18" spans="1:3">
      <c r="A18">
        <v>776</v>
      </c>
      <c r="B18" s="1">
        <v>42381</v>
      </c>
      <c r="C18">
        <v>748</v>
      </c>
    </row>
    <row r="19" spans="1:3">
      <c r="A19">
        <v>777</v>
      </c>
      <c r="B19" s="1">
        <v>42381</v>
      </c>
      <c r="C19">
        <v>768</v>
      </c>
    </row>
    <row r="20" spans="1:3">
      <c r="A20">
        <v>778</v>
      </c>
      <c r="B20" s="1">
        <v>42381</v>
      </c>
      <c r="C20">
        <v>790</v>
      </c>
    </row>
    <row r="21" spans="1:3">
      <c r="A21">
        <v>779</v>
      </c>
      <c r="B21" s="1">
        <v>42381</v>
      </c>
      <c r="C21">
        <v>813</v>
      </c>
    </row>
    <row r="22" spans="1:3">
      <c r="A22">
        <v>780</v>
      </c>
      <c r="B22" s="1">
        <v>42381</v>
      </c>
      <c r="C22">
        <v>837</v>
      </c>
    </row>
    <row r="23" spans="1:3">
      <c r="A23">
        <v>781</v>
      </c>
      <c r="B23" s="1">
        <v>42381</v>
      </c>
      <c r="C23">
        <v>863</v>
      </c>
    </row>
    <row r="24" spans="1:3">
      <c r="A24">
        <v>782</v>
      </c>
      <c r="B24" s="1">
        <v>42381</v>
      </c>
      <c r="C24">
        <v>891</v>
      </c>
    </row>
    <row r="25" spans="1:3">
      <c r="A25">
        <v>783</v>
      </c>
      <c r="B25" s="1">
        <v>42381</v>
      </c>
      <c r="C25">
        <v>921</v>
      </c>
    </row>
    <row r="26" spans="1:3">
      <c r="A26">
        <v>784</v>
      </c>
      <c r="B26" s="1">
        <v>42381</v>
      </c>
      <c r="C26">
        <v>953</v>
      </c>
    </row>
    <row r="27" spans="1:3">
      <c r="A27">
        <v>785</v>
      </c>
      <c r="B27" s="1">
        <v>42381</v>
      </c>
      <c r="C27">
        <v>988</v>
      </c>
    </row>
    <row r="28" spans="1:3">
      <c r="A28">
        <v>786</v>
      </c>
      <c r="B28" s="1">
        <v>42381</v>
      </c>
      <c r="C28">
        <v>1026</v>
      </c>
    </row>
    <row r="29" spans="1:3">
      <c r="A29">
        <v>787</v>
      </c>
      <c r="B29" s="1">
        <v>42381</v>
      </c>
      <c r="C29">
        <v>1066</v>
      </c>
    </row>
    <row r="30" spans="1:3">
      <c r="A30">
        <v>788</v>
      </c>
      <c r="B30" s="1">
        <v>42381</v>
      </c>
      <c r="C30">
        <v>1111</v>
      </c>
    </row>
    <row r="31" spans="1:3">
      <c r="A31">
        <v>789</v>
      </c>
      <c r="B31" s="1">
        <v>42381</v>
      </c>
      <c r="C31">
        <v>1160</v>
      </c>
    </row>
    <row r="32" spans="1:3">
      <c r="A32">
        <v>790</v>
      </c>
      <c r="B32" s="1">
        <v>42381</v>
      </c>
      <c r="C32">
        <v>1214</v>
      </c>
    </row>
    <row r="33" spans="1:3">
      <c r="A33">
        <v>791</v>
      </c>
      <c r="B33" s="1">
        <v>42381</v>
      </c>
      <c r="C33">
        <v>1273</v>
      </c>
    </row>
    <row r="34" spans="1:3">
      <c r="A34">
        <v>792</v>
      </c>
      <c r="B34" s="1">
        <v>42381</v>
      </c>
      <c r="C34">
        <v>1339</v>
      </c>
    </row>
    <row r="35" spans="1:3">
      <c r="A35">
        <v>793</v>
      </c>
      <c r="B35" s="1">
        <v>42381</v>
      </c>
      <c r="C35">
        <v>1413</v>
      </c>
    </row>
    <row r="36" spans="1:3">
      <c r="A36">
        <v>794</v>
      </c>
      <c r="B36" s="1">
        <v>42381</v>
      </c>
      <c r="C36">
        <v>1497</v>
      </c>
    </row>
    <row r="37" spans="1:3">
      <c r="A37">
        <v>795</v>
      </c>
      <c r="B37" s="1">
        <v>42381</v>
      </c>
      <c r="C37">
        <v>1591</v>
      </c>
    </row>
    <row r="38" spans="1:3">
      <c r="A38">
        <v>796</v>
      </c>
      <c r="B38" s="1">
        <v>42381</v>
      </c>
      <c r="C38">
        <v>1699</v>
      </c>
    </row>
    <row r="39" spans="1:3">
      <c r="A39">
        <v>797</v>
      </c>
      <c r="B39" s="1">
        <v>42381</v>
      </c>
      <c r="C39">
        <v>1823</v>
      </c>
    </row>
    <row r="40" spans="1:3">
      <c r="A40">
        <v>798</v>
      </c>
      <c r="B40" s="1">
        <v>42381</v>
      </c>
      <c r="C40">
        <v>1969</v>
      </c>
    </row>
    <row r="41" spans="1:3">
      <c r="A41">
        <v>799</v>
      </c>
      <c r="B41" s="1">
        <v>42381</v>
      </c>
      <c r="C41">
        <v>2140</v>
      </c>
    </row>
    <row r="42" spans="1:3">
      <c r="A42">
        <v>800</v>
      </c>
      <c r="B42" s="1">
        <v>42381</v>
      </c>
      <c r="C42">
        <v>2346</v>
      </c>
    </row>
    <row r="43" spans="1:3">
      <c r="A43">
        <v>801</v>
      </c>
      <c r="B43" s="1">
        <v>42381</v>
      </c>
      <c r="C43">
        <v>2597</v>
      </c>
    </row>
    <row r="44" spans="1:3">
      <c r="A44">
        <v>802</v>
      </c>
      <c r="B44" s="1">
        <v>42381</v>
      </c>
      <c r="C44">
        <v>2911</v>
      </c>
    </row>
    <row r="45" spans="1:3">
      <c r="A45">
        <v>803</v>
      </c>
      <c r="B45" s="1">
        <v>42381</v>
      </c>
      <c r="C45">
        <v>3315</v>
      </c>
    </row>
    <row r="46" spans="1:3">
      <c r="A46">
        <v>804</v>
      </c>
      <c r="B46" s="1">
        <v>42381</v>
      </c>
      <c r="C46">
        <v>3853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C46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4.875" bestFit="1" customWidth="1"/>
  </cols>
  <sheetData>
    <row r="1" spans="1:3">
      <c r="A1">
        <v>660</v>
      </c>
      <c r="B1" s="1">
        <v>42381</v>
      </c>
      <c r="C1">
        <v>232</v>
      </c>
    </row>
    <row r="2" spans="1:3">
      <c r="A2">
        <v>672</v>
      </c>
      <c r="B2" s="1">
        <v>42381</v>
      </c>
      <c r="C2">
        <v>245</v>
      </c>
    </row>
    <row r="3" spans="1:3">
      <c r="A3">
        <v>684</v>
      </c>
      <c r="B3" s="1">
        <v>42381</v>
      </c>
      <c r="C3">
        <v>260</v>
      </c>
    </row>
    <row r="4" spans="1:3">
      <c r="A4">
        <v>696</v>
      </c>
      <c r="B4" s="1">
        <v>42381</v>
      </c>
      <c r="C4">
        <v>279</v>
      </c>
    </row>
    <row r="5" spans="1:3">
      <c r="A5">
        <v>708</v>
      </c>
      <c r="B5" s="1">
        <v>42381</v>
      </c>
      <c r="C5">
        <v>301</v>
      </c>
    </row>
    <row r="6" spans="1:3">
      <c r="A6">
        <v>720</v>
      </c>
      <c r="B6" s="1">
        <v>42381</v>
      </c>
      <c r="C6">
        <v>330</v>
      </c>
    </row>
    <row r="7" spans="1:3">
      <c r="A7">
        <v>732</v>
      </c>
      <c r="B7" s="1">
        <v>42381</v>
      </c>
      <c r="C7">
        <v>368</v>
      </c>
    </row>
    <row r="8" spans="1:3">
      <c r="A8">
        <v>744</v>
      </c>
      <c r="B8" s="1">
        <v>42381</v>
      </c>
      <c r="C8">
        <v>419</v>
      </c>
    </row>
    <row r="9" spans="1:3">
      <c r="A9">
        <v>756</v>
      </c>
      <c r="B9" s="1">
        <v>42381</v>
      </c>
      <c r="C9">
        <v>492</v>
      </c>
    </row>
    <row r="10" spans="1:3">
      <c r="A10">
        <v>768</v>
      </c>
      <c r="B10" s="1">
        <v>42381</v>
      </c>
      <c r="C10">
        <v>607</v>
      </c>
    </row>
    <row r="11" spans="1:3">
      <c r="A11">
        <v>769</v>
      </c>
      <c r="B11" s="1">
        <v>42381</v>
      </c>
      <c r="C11">
        <v>620</v>
      </c>
    </row>
    <row r="12" spans="1:3">
      <c r="A12">
        <v>770</v>
      </c>
      <c r="B12" s="1">
        <v>42381</v>
      </c>
      <c r="C12">
        <v>633</v>
      </c>
    </row>
    <row r="13" spans="1:3">
      <c r="A13">
        <v>771</v>
      </c>
      <c r="B13" s="1">
        <v>42381</v>
      </c>
      <c r="C13">
        <v>646</v>
      </c>
    </row>
    <row r="14" spans="1:3">
      <c r="A14">
        <v>772</v>
      </c>
      <c r="B14" s="1">
        <v>42381</v>
      </c>
      <c r="C14">
        <v>661</v>
      </c>
    </row>
    <row r="15" spans="1:3">
      <c r="A15">
        <v>773</v>
      </c>
      <c r="B15" s="1">
        <v>42381</v>
      </c>
      <c r="C15">
        <v>676</v>
      </c>
    </row>
    <row r="16" spans="1:3">
      <c r="A16">
        <v>774</v>
      </c>
      <c r="B16" s="1">
        <v>42381</v>
      </c>
      <c r="C16">
        <v>692</v>
      </c>
    </row>
    <row r="17" spans="1:3">
      <c r="A17">
        <v>775</v>
      </c>
      <c r="B17" s="1">
        <v>42381</v>
      </c>
      <c r="C17">
        <v>709</v>
      </c>
    </row>
    <row r="18" spans="1:3">
      <c r="A18">
        <v>776</v>
      </c>
      <c r="B18" s="1">
        <v>42381</v>
      </c>
      <c r="C18">
        <v>727</v>
      </c>
    </row>
    <row r="19" spans="1:3">
      <c r="A19">
        <v>777</v>
      </c>
      <c r="B19" s="1">
        <v>42381</v>
      </c>
      <c r="C19">
        <v>746</v>
      </c>
    </row>
    <row r="20" spans="1:3">
      <c r="A20">
        <v>778</v>
      </c>
      <c r="B20" s="1">
        <v>42381</v>
      </c>
      <c r="C20">
        <v>766</v>
      </c>
    </row>
    <row r="21" spans="1:3">
      <c r="A21">
        <v>779</v>
      </c>
      <c r="B21" s="1">
        <v>42381</v>
      </c>
      <c r="C21">
        <v>787</v>
      </c>
    </row>
    <row r="22" spans="1:3">
      <c r="A22">
        <v>780</v>
      </c>
      <c r="B22" s="1">
        <v>42381</v>
      </c>
      <c r="C22">
        <v>810</v>
      </c>
    </row>
    <row r="23" spans="1:3">
      <c r="A23">
        <v>781</v>
      </c>
      <c r="B23" s="1">
        <v>42381</v>
      </c>
      <c r="C23">
        <v>834</v>
      </c>
    </row>
    <row r="24" spans="1:3">
      <c r="A24">
        <v>782</v>
      </c>
      <c r="B24" s="1">
        <v>42381</v>
      </c>
      <c r="C24">
        <v>860</v>
      </c>
    </row>
    <row r="25" spans="1:3">
      <c r="A25">
        <v>783</v>
      </c>
      <c r="B25" s="1">
        <v>42381</v>
      </c>
      <c r="C25">
        <v>888</v>
      </c>
    </row>
    <row r="26" spans="1:3">
      <c r="A26">
        <v>784</v>
      </c>
      <c r="B26" s="1">
        <v>42381</v>
      </c>
      <c r="C26">
        <v>918</v>
      </c>
    </row>
    <row r="27" spans="1:3">
      <c r="A27">
        <v>785</v>
      </c>
      <c r="B27" s="1">
        <v>42381</v>
      </c>
      <c r="C27">
        <v>950</v>
      </c>
    </row>
    <row r="28" spans="1:3">
      <c r="A28">
        <v>786</v>
      </c>
      <c r="B28" s="1">
        <v>42381</v>
      </c>
      <c r="C28">
        <v>985</v>
      </c>
    </row>
    <row r="29" spans="1:3">
      <c r="A29">
        <v>787</v>
      </c>
      <c r="B29" s="1">
        <v>42381</v>
      </c>
      <c r="C29">
        <v>1022</v>
      </c>
    </row>
    <row r="30" spans="1:3">
      <c r="A30">
        <v>788</v>
      </c>
      <c r="B30" s="1">
        <v>42381</v>
      </c>
      <c r="C30">
        <v>1063</v>
      </c>
    </row>
    <row r="31" spans="1:3">
      <c r="A31">
        <v>789</v>
      </c>
      <c r="B31" s="1">
        <v>42381</v>
      </c>
      <c r="C31">
        <v>1108</v>
      </c>
    </row>
    <row r="32" spans="1:3">
      <c r="A32">
        <v>790</v>
      </c>
      <c r="B32" s="1">
        <v>42381</v>
      </c>
      <c r="C32">
        <v>1156</v>
      </c>
    </row>
    <row r="33" spans="1:3">
      <c r="A33">
        <v>791</v>
      </c>
      <c r="B33" s="1">
        <v>42381</v>
      </c>
      <c r="C33">
        <v>1210</v>
      </c>
    </row>
    <row r="34" spans="1:3">
      <c r="A34">
        <v>792</v>
      </c>
      <c r="B34" s="1">
        <v>42381</v>
      </c>
      <c r="C34">
        <v>1269</v>
      </c>
    </row>
    <row r="35" spans="1:3">
      <c r="A35">
        <v>793</v>
      </c>
      <c r="B35" s="1">
        <v>42381</v>
      </c>
      <c r="C35">
        <v>1335</v>
      </c>
    </row>
    <row r="36" spans="1:3">
      <c r="A36">
        <v>794</v>
      </c>
      <c r="B36" s="1">
        <v>42381</v>
      </c>
      <c r="C36">
        <v>1409</v>
      </c>
    </row>
    <row r="37" spans="1:3">
      <c r="A37">
        <v>795</v>
      </c>
      <c r="B37" s="1">
        <v>42381</v>
      </c>
      <c r="C37">
        <v>1492</v>
      </c>
    </row>
    <row r="38" spans="1:3">
      <c r="A38">
        <v>796</v>
      </c>
      <c r="B38" s="1">
        <v>42381</v>
      </c>
      <c r="C38">
        <v>1586</v>
      </c>
    </row>
    <row r="39" spans="1:3">
      <c r="A39">
        <v>797</v>
      </c>
      <c r="B39" s="1">
        <v>42381</v>
      </c>
      <c r="C39">
        <v>1693</v>
      </c>
    </row>
    <row r="40" spans="1:3">
      <c r="A40">
        <v>798</v>
      </c>
      <c r="B40" s="1">
        <v>42381</v>
      </c>
      <c r="C40">
        <v>1817</v>
      </c>
    </row>
    <row r="41" spans="1:3">
      <c r="A41">
        <v>799</v>
      </c>
      <c r="B41" s="1">
        <v>42381</v>
      </c>
      <c r="C41">
        <v>1962</v>
      </c>
    </row>
    <row r="42" spans="1:3">
      <c r="A42">
        <v>800</v>
      </c>
      <c r="B42" s="1">
        <v>42381</v>
      </c>
      <c r="C42">
        <v>2133</v>
      </c>
    </row>
    <row r="43" spans="1:3">
      <c r="A43">
        <v>801</v>
      </c>
      <c r="B43" s="1">
        <v>42381</v>
      </c>
      <c r="C43">
        <v>2338</v>
      </c>
    </row>
    <row r="44" spans="1:3">
      <c r="A44">
        <v>802</v>
      </c>
      <c r="B44" s="1">
        <v>42381</v>
      </c>
      <c r="C44">
        <v>2588</v>
      </c>
    </row>
    <row r="45" spans="1:3">
      <c r="A45">
        <v>803</v>
      </c>
      <c r="B45" s="1">
        <v>42381</v>
      </c>
      <c r="C45">
        <v>2901</v>
      </c>
    </row>
    <row r="46" spans="1:3">
      <c r="A46">
        <v>804</v>
      </c>
      <c r="B46" s="1">
        <v>42381</v>
      </c>
      <c r="C46">
        <v>3303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:C46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4.875" bestFit="1" customWidth="1"/>
  </cols>
  <sheetData>
    <row r="1" spans="1:3">
      <c r="A1">
        <v>660</v>
      </c>
      <c r="B1" s="1">
        <v>42381</v>
      </c>
      <c r="C1">
        <v>231</v>
      </c>
    </row>
    <row r="2" spans="1:3">
      <c r="A2">
        <v>672</v>
      </c>
      <c r="B2" s="1">
        <v>42381</v>
      </c>
      <c r="C2">
        <v>243</v>
      </c>
    </row>
    <row r="3" spans="1:3">
      <c r="A3">
        <v>684</v>
      </c>
      <c r="B3" s="1">
        <v>42381</v>
      </c>
      <c r="C3">
        <v>258</v>
      </c>
    </row>
    <row r="4" spans="1:3">
      <c r="A4">
        <v>696</v>
      </c>
      <c r="B4" s="1">
        <v>42381</v>
      </c>
      <c r="C4">
        <v>276</v>
      </c>
    </row>
    <row r="5" spans="1:3">
      <c r="A5">
        <v>708</v>
      </c>
      <c r="B5" s="1">
        <v>42381</v>
      </c>
      <c r="C5">
        <v>299</v>
      </c>
    </row>
    <row r="6" spans="1:3">
      <c r="A6">
        <v>720</v>
      </c>
      <c r="B6" s="1">
        <v>42381</v>
      </c>
      <c r="C6">
        <v>327</v>
      </c>
    </row>
    <row r="7" spans="1:3">
      <c r="A7">
        <v>732</v>
      </c>
      <c r="B7" s="1">
        <v>42381</v>
      </c>
      <c r="C7">
        <v>363</v>
      </c>
    </row>
    <row r="8" spans="1:3">
      <c r="A8">
        <v>744</v>
      </c>
      <c r="B8" s="1">
        <v>42381</v>
      </c>
      <c r="C8">
        <v>413</v>
      </c>
    </row>
    <row r="9" spans="1:3">
      <c r="A9">
        <v>756</v>
      </c>
      <c r="B9" s="1">
        <v>42381</v>
      </c>
      <c r="C9">
        <v>484</v>
      </c>
    </row>
    <row r="10" spans="1:3">
      <c r="A10">
        <v>768</v>
      </c>
      <c r="B10" s="1">
        <v>42381</v>
      </c>
      <c r="C10">
        <v>593</v>
      </c>
    </row>
    <row r="11" spans="1:3">
      <c r="A11">
        <v>769</v>
      </c>
      <c r="B11" s="1">
        <v>42381</v>
      </c>
      <c r="C11">
        <v>605</v>
      </c>
    </row>
    <row r="12" spans="1:3">
      <c r="A12">
        <v>770</v>
      </c>
      <c r="B12" s="1">
        <v>42381</v>
      </c>
      <c r="C12">
        <v>618</v>
      </c>
    </row>
    <row r="13" spans="1:3">
      <c r="A13">
        <v>771</v>
      </c>
      <c r="B13" s="1">
        <v>42381</v>
      </c>
      <c r="C13">
        <v>631</v>
      </c>
    </row>
    <row r="14" spans="1:3">
      <c r="A14">
        <v>772</v>
      </c>
      <c r="B14" s="1">
        <v>42381</v>
      </c>
      <c r="C14">
        <v>644</v>
      </c>
    </row>
    <row r="15" spans="1:3">
      <c r="A15">
        <v>773</v>
      </c>
      <c r="B15" s="1">
        <v>42381</v>
      </c>
      <c r="C15">
        <v>659</v>
      </c>
    </row>
    <row r="16" spans="1:3">
      <c r="A16">
        <v>774</v>
      </c>
      <c r="B16" s="1">
        <v>42381</v>
      </c>
      <c r="C16">
        <v>674</v>
      </c>
    </row>
    <row r="17" spans="1:3">
      <c r="A17">
        <v>775</v>
      </c>
      <c r="B17" s="1">
        <v>42381</v>
      </c>
      <c r="C17">
        <v>690</v>
      </c>
    </row>
    <row r="18" spans="1:3">
      <c r="A18">
        <v>776</v>
      </c>
      <c r="B18" s="1">
        <v>42381</v>
      </c>
      <c r="C18">
        <v>707</v>
      </c>
    </row>
    <row r="19" spans="1:3">
      <c r="A19">
        <v>777</v>
      </c>
      <c r="B19" s="1">
        <v>42381</v>
      </c>
      <c r="C19">
        <v>725</v>
      </c>
    </row>
    <row r="20" spans="1:3">
      <c r="A20">
        <v>778</v>
      </c>
      <c r="B20" s="1">
        <v>42381</v>
      </c>
      <c r="C20">
        <v>744</v>
      </c>
    </row>
    <row r="21" spans="1:3">
      <c r="A21">
        <v>779</v>
      </c>
      <c r="B21" s="1">
        <v>42381</v>
      </c>
      <c r="C21">
        <v>764</v>
      </c>
    </row>
    <row r="22" spans="1:3">
      <c r="A22">
        <v>780</v>
      </c>
      <c r="B22" s="1">
        <v>42381</v>
      </c>
      <c r="C22">
        <v>785</v>
      </c>
    </row>
    <row r="23" spans="1:3">
      <c r="A23">
        <v>781</v>
      </c>
      <c r="B23" s="1">
        <v>42381</v>
      </c>
      <c r="C23">
        <v>808</v>
      </c>
    </row>
    <row r="24" spans="1:3">
      <c r="A24">
        <v>782</v>
      </c>
      <c r="B24" s="1">
        <v>42381</v>
      </c>
      <c r="C24">
        <v>832</v>
      </c>
    </row>
    <row r="25" spans="1:3">
      <c r="A25">
        <v>783</v>
      </c>
      <c r="B25" s="1">
        <v>42381</v>
      </c>
      <c r="C25">
        <v>858</v>
      </c>
    </row>
    <row r="26" spans="1:3">
      <c r="A26">
        <v>784</v>
      </c>
      <c r="B26" s="1">
        <v>42381</v>
      </c>
      <c r="C26">
        <v>885</v>
      </c>
    </row>
    <row r="27" spans="1:3">
      <c r="A27">
        <v>785</v>
      </c>
      <c r="B27" s="1">
        <v>42381</v>
      </c>
      <c r="C27">
        <v>915</v>
      </c>
    </row>
    <row r="28" spans="1:3">
      <c r="A28">
        <v>786</v>
      </c>
      <c r="B28" s="1">
        <v>42381</v>
      </c>
      <c r="C28">
        <v>947</v>
      </c>
    </row>
    <row r="29" spans="1:3">
      <c r="A29">
        <v>787</v>
      </c>
      <c r="B29" s="1">
        <v>42381</v>
      </c>
      <c r="C29">
        <v>982</v>
      </c>
    </row>
    <row r="30" spans="1:3">
      <c r="A30">
        <v>788</v>
      </c>
      <c r="B30" s="1">
        <v>42381</v>
      </c>
      <c r="C30">
        <v>1019</v>
      </c>
    </row>
    <row r="31" spans="1:3">
      <c r="A31">
        <v>789</v>
      </c>
      <c r="B31" s="1">
        <v>42381</v>
      </c>
      <c r="C31">
        <v>1060</v>
      </c>
    </row>
    <row r="32" spans="1:3">
      <c r="A32">
        <v>790</v>
      </c>
      <c r="B32" s="1">
        <v>42381</v>
      </c>
      <c r="C32">
        <v>1104</v>
      </c>
    </row>
    <row r="33" spans="1:3">
      <c r="A33">
        <v>791</v>
      </c>
      <c r="B33" s="1">
        <v>42381</v>
      </c>
      <c r="C33">
        <v>1153</v>
      </c>
    </row>
    <row r="34" spans="1:3">
      <c r="A34">
        <v>792</v>
      </c>
      <c r="B34" s="1">
        <v>42381</v>
      </c>
      <c r="C34">
        <v>1206</v>
      </c>
    </row>
    <row r="35" spans="1:3">
      <c r="A35">
        <v>793</v>
      </c>
      <c r="B35" s="1">
        <v>42381</v>
      </c>
      <c r="C35">
        <v>1265</v>
      </c>
    </row>
    <row r="36" spans="1:3">
      <c r="A36">
        <v>794</v>
      </c>
      <c r="B36" s="1">
        <v>42381</v>
      </c>
      <c r="C36">
        <v>1331</v>
      </c>
    </row>
    <row r="37" spans="1:3">
      <c r="A37">
        <v>795</v>
      </c>
      <c r="B37" s="1">
        <v>42381</v>
      </c>
      <c r="C37">
        <v>1404</v>
      </c>
    </row>
    <row r="38" spans="1:3">
      <c r="A38">
        <v>796</v>
      </c>
      <c r="B38" s="1">
        <v>42381</v>
      </c>
      <c r="C38">
        <v>1487</v>
      </c>
    </row>
    <row r="39" spans="1:3">
      <c r="A39">
        <v>797</v>
      </c>
      <c r="B39" s="1">
        <v>42381</v>
      </c>
      <c r="C39">
        <v>1581</v>
      </c>
    </row>
    <row r="40" spans="1:3">
      <c r="A40">
        <v>798</v>
      </c>
      <c r="B40" s="1">
        <v>42381</v>
      </c>
      <c r="C40">
        <v>1688</v>
      </c>
    </row>
    <row r="41" spans="1:3">
      <c r="A41">
        <v>799</v>
      </c>
      <c r="B41" s="1">
        <v>42381</v>
      </c>
      <c r="C41">
        <v>1811</v>
      </c>
    </row>
    <row r="42" spans="1:3">
      <c r="A42">
        <v>800</v>
      </c>
      <c r="B42" s="1">
        <v>42381</v>
      </c>
      <c r="C42">
        <v>1955</v>
      </c>
    </row>
    <row r="43" spans="1:3">
      <c r="A43">
        <v>801</v>
      </c>
      <c r="B43" s="1">
        <v>42381</v>
      </c>
      <c r="C43">
        <v>2125</v>
      </c>
    </row>
    <row r="44" spans="1:3">
      <c r="A44">
        <v>802</v>
      </c>
      <c r="B44" s="1">
        <v>42381</v>
      </c>
      <c r="C44">
        <v>2329</v>
      </c>
    </row>
    <row r="45" spans="1:3">
      <c r="A45">
        <v>803</v>
      </c>
      <c r="B45" s="1">
        <v>42381</v>
      </c>
      <c r="C45">
        <v>2578</v>
      </c>
    </row>
    <row r="46" spans="1:3">
      <c r="A46">
        <v>804</v>
      </c>
      <c r="B46" s="1">
        <v>42381</v>
      </c>
      <c r="C46">
        <v>2890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:C46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4.875" bestFit="1" customWidth="1"/>
  </cols>
  <sheetData>
    <row r="1" spans="1:3">
      <c r="A1">
        <v>660</v>
      </c>
      <c r="B1" s="1">
        <v>42381</v>
      </c>
      <c r="C1">
        <v>230</v>
      </c>
    </row>
    <row r="2" spans="1:3">
      <c r="A2">
        <v>672</v>
      </c>
      <c r="B2" s="1">
        <v>42381</v>
      </c>
      <c r="C2">
        <v>242</v>
      </c>
    </row>
    <row r="3" spans="1:3">
      <c r="A3">
        <v>684</v>
      </c>
      <c r="B3" s="1">
        <v>42381</v>
      </c>
      <c r="C3">
        <v>256</v>
      </c>
    </row>
    <row r="4" spans="1:3">
      <c r="A4">
        <v>696</v>
      </c>
      <c r="B4" s="1">
        <v>42381</v>
      </c>
      <c r="C4">
        <v>274</v>
      </c>
    </row>
    <row r="5" spans="1:3">
      <c r="A5">
        <v>708</v>
      </c>
      <c r="B5" s="1">
        <v>42381</v>
      </c>
      <c r="C5">
        <v>296</v>
      </c>
    </row>
    <row r="6" spans="1:3">
      <c r="A6">
        <v>720</v>
      </c>
      <c r="B6" s="1">
        <v>42381</v>
      </c>
      <c r="C6">
        <v>323</v>
      </c>
    </row>
    <row r="7" spans="1:3">
      <c r="A7">
        <v>732</v>
      </c>
      <c r="B7" s="1">
        <v>42381</v>
      </c>
      <c r="C7">
        <v>359</v>
      </c>
    </row>
    <row r="8" spans="1:3">
      <c r="A8">
        <v>744</v>
      </c>
      <c r="B8" s="1">
        <v>42381</v>
      </c>
      <c r="C8">
        <v>407</v>
      </c>
    </row>
    <row r="9" spans="1:3">
      <c r="A9">
        <v>756</v>
      </c>
      <c r="B9" s="1">
        <v>42381</v>
      </c>
      <c r="C9">
        <v>475</v>
      </c>
    </row>
    <row r="10" spans="1:3">
      <c r="A10">
        <v>768</v>
      </c>
      <c r="B10" s="1">
        <v>42381</v>
      </c>
      <c r="C10">
        <v>580</v>
      </c>
    </row>
    <row r="11" spans="1:3">
      <c r="A11">
        <v>769</v>
      </c>
      <c r="B11" s="1">
        <v>42381</v>
      </c>
      <c r="C11">
        <v>592</v>
      </c>
    </row>
    <row r="12" spans="1:3">
      <c r="A12">
        <v>770</v>
      </c>
      <c r="B12" s="1">
        <v>42381</v>
      </c>
      <c r="C12">
        <v>603</v>
      </c>
    </row>
    <row r="13" spans="1:3">
      <c r="A13">
        <v>771</v>
      </c>
      <c r="B13" s="1">
        <v>42381</v>
      </c>
      <c r="C13">
        <v>616</v>
      </c>
    </row>
    <row r="14" spans="1:3">
      <c r="A14">
        <v>772</v>
      </c>
      <c r="B14" s="1">
        <v>42381</v>
      </c>
      <c r="C14">
        <v>629</v>
      </c>
    </row>
    <row r="15" spans="1:3">
      <c r="A15">
        <v>773</v>
      </c>
      <c r="B15" s="1">
        <v>42381</v>
      </c>
      <c r="C15">
        <v>643</v>
      </c>
    </row>
    <row r="16" spans="1:3">
      <c r="A16">
        <v>774</v>
      </c>
      <c r="B16" s="1">
        <v>42381</v>
      </c>
      <c r="C16">
        <v>657</v>
      </c>
    </row>
    <row r="17" spans="1:3">
      <c r="A17">
        <v>775</v>
      </c>
      <c r="B17" s="1">
        <v>42381</v>
      </c>
      <c r="C17">
        <v>672</v>
      </c>
    </row>
    <row r="18" spans="1:3">
      <c r="A18">
        <v>776</v>
      </c>
      <c r="B18" s="1">
        <v>42381</v>
      </c>
      <c r="C18">
        <v>688</v>
      </c>
    </row>
    <row r="19" spans="1:3">
      <c r="A19">
        <v>777</v>
      </c>
      <c r="B19" s="1">
        <v>42381</v>
      </c>
      <c r="C19">
        <v>705</v>
      </c>
    </row>
    <row r="20" spans="1:3">
      <c r="A20">
        <v>778</v>
      </c>
      <c r="B20" s="1">
        <v>42381</v>
      </c>
      <c r="C20">
        <v>723</v>
      </c>
    </row>
    <row r="21" spans="1:3">
      <c r="A21">
        <v>779</v>
      </c>
      <c r="B21" s="1">
        <v>42381</v>
      </c>
      <c r="C21">
        <v>741</v>
      </c>
    </row>
    <row r="22" spans="1:3">
      <c r="A22">
        <v>780</v>
      </c>
      <c r="B22" s="1">
        <v>42381</v>
      </c>
      <c r="C22">
        <v>761</v>
      </c>
    </row>
    <row r="23" spans="1:3">
      <c r="A23">
        <v>781</v>
      </c>
      <c r="B23" s="1">
        <v>42381</v>
      </c>
      <c r="C23">
        <v>782</v>
      </c>
    </row>
    <row r="24" spans="1:3">
      <c r="A24">
        <v>782</v>
      </c>
      <c r="B24" s="1">
        <v>42381</v>
      </c>
      <c r="C24">
        <v>805</v>
      </c>
    </row>
    <row r="25" spans="1:3">
      <c r="A25">
        <v>783</v>
      </c>
      <c r="B25" s="1">
        <v>42381</v>
      </c>
      <c r="C25">
        <v>829</v>
      </c>
    </row>
    <row r="26" spans="1:3">
      <c r="A26">
        <v>784</v>
      </c>
      <c r="B26" s="1">
        <v>42381</v>
      </c>
      <c r="C26">
        <v>855</v>
      </c>
    </row>
    <row r="27" spans="1:3">
      <c r="A27">
        <v>785</v>
      </c>
      <c r="B27" s="1">
        <v>42381</v>
      </c>
      <c r="C27">
        <v>882</v>
      </c>
    </row>
    <row r="28" spans="1:3">
      <c r="A28">
        <v>786</v>
      </c>
      <c r="B28" s="1">
        <v>42381</v>
      </c>
      <c r="C28">
        <v>912</v>
      </c>
    </row>
    <row r="29" spans="1:3">
      <c r="A29">
        <v>787</v>
      </c>
      <c r="B29" s="1">
        <v>42381</v>
      </c>
      <c r="C29">
        <v>944</v>
      </c>
    </row>
    <row r="30" spans="1:3">
      <c r="A30">
        <v>788</v>
      </c>
      <c r="B30" s="1">
        <v>42381</v>
      </c>
      <c r="C30">
        <v>978</v>
      </c>
    </row>
    <row r="31" spans="1:3">
      <c r="A31">
        <v>789</v>
      </c>
      <c r="B31" s="1">
        <v>42381</v>
      </c>
      <c r="C31">
        <v>1016</v>
      </c>
    </row>
    <row r="32" spans="1:3">
      <c r="A32">
        <v>790</v>
      </c>
      <c r="B32" s="1">
        <v>42381</v>
      </c>
      <c r="C32">
        <v>1056</v>
      </c>
    </row>
    <row r="33" spans="1:3">
      <c r="A33">
        <v>791</v>
      </c>
      <c r="B33" s="1">
        <v>42381</v>
      </c>
      <c r="C33">
        <v>1100</v>
      </c>
    </row>
    <row r="34" spans="1:3">
      <c r="A34">
        <v>792</v>
      </c>
      <c r="B34" s="1">
        <v>42381</v>
      </c>
      <c r="C34">
        <v>1149</v>
      </c>
    </row>
    <row r="35" spans="1:3">
      <c r="A35">
        <v>793</v>
      </c>
      <c r="B35" s="1">
        <v>42381</v>
      </c>
      <c r="C35">
        <v>1202</v>
      </c>
    </row>
    <row r="36" spans="1:3">
      <c r="A36">
        <v>794</v>
      </c>
      <c r="B36" s="1">
        <v>42381</v>
      </c>
      <c r="C36">
        <v>1261</v>
      </c>
    </row>
    <row r="37" spans="1:3">
      <c r="A37">
        <v>795</v>
      </c>
      <c r="B37" s="1">
        <v>42381</v>
      </c>
      <c r="C37">
        <v>1327</v>
      </c>
    </row>
    <row r="38" spans="1:3">
      <c r="A38">
        <v>796</v>
      </c>
      <c r="B38" s="1">
        <v>42381</v>
      </c>
      <c r="C38">
        <v>1400</v>
      </c>
    </row>
    <row r="39" spans="1:3">
      <c r="A39">
        <v>797</v>
      </c>
      <c r="B39" s="1">
        <v>42381</v>
      </c>
      <c r="C39">
        <v>1482</v>
      </c>
    </row>
    <row r="40" spans="1:3">
      <c r="A40">
        <v>798</v>
      </c>
      <c r="B40" s="1">
        <v>42381</v>
      </c>
      <c r="C40">
        <v>1575</v>
      </c>
    </row>
    <row r="41" spans="1:3">
      <c r="A41">
        <v>799</v>
      </c>
      <c r="B41" s="1">
        <v>42381</v>
      </c>
      <c r="C41">
        <v>1682</v>
      </c>
    </row>
    <row r="42" spans="1:3">
      <c r="A42">
        <v>800</v>
      </c>
      <c r="B42" s="1">
        <v>42381</v>
      </c>
      <c r="C42">
        <v>1805</v>
      </c>
    </row>
    <row r="43" spans="1:3">
      <c r="A43">
        <v>801</v>
      </c>
      <c r="B43" s="1">
        <v>42381</v>
      </c>
      <c r="C43">
        <v>1948</v>
      </c>
    </row>
    <row r="44" spans="1:3">
      <c r="A44">
        <v>802</v>
      </c>
      <c r="B44" s="1">
        <v>42381</v>
      </c>
      <c r="C44">
        <v>2118</v>
      </c>
    </row>
    <row r="45" spans="1:3">
      <c r="A45">
        <v>803</v>
      </c>
      <c r="B45" s="1">
        <v>42381</v>
      </c>
      <c r="C45">
        <v>2321</v>
      </c>
    </row>
    <row r="46" spans="1:3">
      <c r="A46">
        <v>804</v>
      </c>
      <c r="B46" s="1">
        <v>42381</v>
      </c>
      <c r="C46">
        <v>2569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:C46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4.875" bestFit="1" customWidth="1"/>
  </cols>
  <sheetData>
    <row r="1" spans="1:3">
      <c r="A1">
        <v>660</v>
      </c>
      <c r="B1" s="1">
        <v>42381</v>
      </c>
      <c r="C1">
        <v>228</v>
      </c>
    </row>
    <row r="2" spans="1:3">
      <c r="A2">
        <v>672</v>
      </c>
      <c r="B2" s="1">
        <v>42381</v>
      </c>
      <c r="C2">
        <v>240</v>
      </c>
    </row>
    <row r="3" spans="1:3">
      <c r="A3">
        <v>684</v>
      </c>
      <c r="B3" s="1">
        <v>42381</v>
      </c>
      <c r="C3">
        <v>255</v>
      </c>
    </row>
    <row r="4" spans="1:3">
      <c r="A4">
        <v>696</v>
      </c>
      <c r="B4" s="1">
        <v>42381</v>
      </c>
      <c r="C4">
        <v>272</v>
      </c>
    </row>
    <row r="5" spans="1:3">
      <c r="A5">
        <v>708</v>
      </c>
      <c r="B5" s="1">
        <v>42381</v>
      </c>
      <c r="C5">
        <v>293</v>
      </c>
    </row>
    <row r="6" spans="1:3">
      <c r="A6">
        <v>720</v>
      </c>
      <c r="B6" s="1">
        <v>42381</v>
      </c>
      <c r="C6">
        <v>320</v>
      </c>
    </row>
    <row r="7" spans="1:3">
      <c r="A7">
        <v>732</v>
      </c>
      <c r="B7" s="1">
        <v>42381</v>
      </c>
      <c r="C7">
        <v>355</v>
      </c>
    </row>
    <row r="8" spans="1:3">
      <c r="A8">
        <v>744</v>
      </c>
      <c r="B8" s="1">
        <v>42381</v>
      </c>
      <c r="C8">
        <v>401</v>
      </c>
    </row>
    <row r="9" spans="1:3">
      <c r="A9">
        <v>756</v>
      </c>
      <c r="B9" s="1">
        <v>42381</v>
      </c>
      <c r="C9">
        <v>467</v>
      </c>
    </row>
    <row r="10" spans="1:3">
      <c r="A10">
        <v>768</v>
      </c>
      <c r="B10" s="1">
        <v>42381</v>
      </c>
      <c r="C10">
        <v>568</v>
      </c>
    </row>
    <row r="11" spans="1:3">
      <c r="A11">
        <v>769</v>
      </c>
      <c r="B11" s="1">
        <v>42381</v>
      </c>
      <c r="C11">
        <v>579</v>
      </c>
    </row>
    <row r="12" spans="1:3">
      <c r="A12">
        <v>770</v>
      </c>
      <c r="B12" s="1">
        <v>42381</v>
      </c>
      <c r="C12">
        <v>590</v>
      </c>
    </row>
    <row r="13" spans="1:3">
      <c r="A13">
        <v>771</v>
      </c>
      <c r="B13" s="1">
        <v>42381</v>
      </c>
      <c r="C13">
        <v>602</v>
      </c>
    </row>
    <row r="14" spans="1:3">
      <c r="A14">
        <v>772</v>
      </c>
      <c r="B14" s="1">
        <v>42381</v>
      </c>
      <c r="C14">
        <v>614</v>
      </c>
    </row>
    <row r="15" spans="1:3">
      <c r="A15">
        <v>773</v>
      </c>
      <c r="B15" s="1">
        <v>42381</v>
      </c>
      <c r="C15">
        <v>627</v>
      </c>
    </row>
    <row r="16" spans="1:3">
      <c r="A16">
        <v>774</v>
      </c>
      <c r="B16" s="1">
        <v>42381</v>
      </c>
      <c r="C16">
        <v>641</v>
      </c>
    </row>
    <row r="17" spans="1:3">
      <c r="A17">
        <v>775</v>
      </c>
      <c r="B17" s="1">
        <v>42381</v>
      </c>
      <c r="C17">
        <v>655</v>
      </c>
    </row>
    <row r="18" spans="1:3">
      <c r="A18">
        <v>776</v>
      </c>
      <c r="B18" s="1">
        <v>42381</v>
      </c>
      <c r="C18">
        <v>670</v>
      </c>
    </row>
    <row r="19" spans="1:3">
      <c r="A19">
        <v>777</v>
      </c>
      <c r="B19" s="1">
        <v>42381</v>
      </c>
      <c r="C19">
        <v>686</v>
      </c>
    </row>
    <row r="20" spans="1:3">
      <c r="A20">
        <v>778</v>
      </c>
      <c r="B20" s="1">
        <v>42381</v>
      </c>
      <c r="C20">
        <v>703</v>
      </c>
    </row>
    <row r="21" spans="1:3">
      <c r="A21">
        <v>779</v>
      </c>
      <c r="B21" s="1">
        <v>42381</v>
      </c>
      <c r="C21">
        <v>720</v>
      </c>
    </row>
    <row r="22" spans="1:3">
      <c r="A22">
        <v>780</v>
      </c>
      <c r="B22" s="1">
        <v>42381</v>
      </c>
      <c r="C22">
        <v>739</v>
      </c>
    </row>
    <row r="23" spans="1:3">
      <c r="A23">
        <v>781</v>
      </c>
      <c r="B23" s="1">
        <v>42381</v>
      </c>
      <c r="C23">
        <v>759</v>
      </c>
    </row>
    <row r="24" spans="1:3">
      <c r="A24">
        <v>782</v>
      </c>
      <c r="B24" s="1">
        <v>42381</v>
      </c>
      <c r="C24">
        <v>780</v>
      </c>
    </row>
    <row r="25" spans="1:3">
      <c r="A25">
        <v>783</v>
      </c>
      <c r="B25" s="1">
        <v>42381</v>
      </c>
      <c r="C25">
        <v>803</v>
      </c>
    </row>
    <row r="26" spans="1:3">
      <c r="A26">
        <v>784</v>
      </c>
      <c r="B26" s="1">
        <v>42381</v>
      </c>
      <c r="C26">
        <v>827</v>
      </c>
    </row>
    <row r="27" spans="1:3">
      <c r="A27">
        <v>785</v>
      </c>
      <c r="B27" s="1">
        <v>42381</v>
      </c>
      <c r="C27">
        <v>852</v>
      </c>
    </row>
    <row r="28" spans="1:3">
      <c r="A28">
        <v>786</v>
      </c>
      <c r="B28" s="1">
        <v>42381</v>
      </c>
      <c r="C28">
        <v>880</v>
      </c>
    </row>
    <row r="29" spans="1:3">
      <c r="A29">
        <v>787</v>
      </c>
      <c r="B29" s="1">
        <v>42381</v>
      </c>
      <c r="C29">
        <v>909</v>
      </c>
    </row>
    <row r="30" spans="1:3">
      <c r="A30">
        <v>788</v>
      </c>
      <c r="B30" s="1">
        <v>42381</v>
      </c>
      <c r="C30">
        <v>941</v>
      </c>
    </row>
    <row r="31" spans="1:3">
      <c r="A31">
        <v>789</v>
      </c>
      <c r="B31" s="1">
        <v>42381</v>
      </c>
      <c r="C31">
        <v>975</v>
      </c>
    </row>
    <row r="32" spans="1:3">
      <c r="A32">
        <v>790</v>
      </c>
      <c r="B32" s="1">
        <v>42381</v>
      </c>
      <c r="C32">
        <v>1012</v>
      </c>
    </row>
    <row r="33" spans="1:3">
      <c r="A33">
        <v>791</v>
      </c>
      <c r="B33" s="1">
        <v>42381</v>
      </c>
      <c r="C33">
        <v>1053</v>
      </c>
    </row>
    <row r="34" spans="1:3">
      <c r="A34">
        <v>792</v>
      </c>
      <c r="B34" s="1">
        <v>42381</v>
      </c>
      <c r="C34">
        <v>1097</v>
      </c>
    </row>
    <row r="35" spans="1:3">
      <c r="A35">
        <v>793</v>
      </c>
      <c r="B35" s="1">
        <v>42381</v>
      </c>
      <c r="C35">
        <v>1145</v>
      </c>
    </row>
    <row r="36" spans="1:3">
      <c r="A36">
        <v>794</v>
      </c>
      <c r="B36" s="1">
        <v>42381</v>
      </c>
      <c r="C36">
        <v>1198</v>
      </c>
    </row>
    <row r="37" spans="1:3">
      <c r="A37">
        <v>795</v>
      </c>
      <c r="B37" s="1">
        <v>42381</v>
      </c>
      <c r="C37">
        <v>1257</v>
      </c>
    </row>
    <row r="38" spans="1:3">
      <c r="A38">
        <v>796</v>
      </c>
      <c r="B38" s="1">
        <v>42381</v>
      </c>
      <c r="C38">
        <v>1322</v>
      </c>
    </row>
    <row r="39" spans="1:3">
      <c r="A39">
        <v>797</v>
      </c>
      <c r="B39" s="1">
        <v>42381</v>
      </c>
      <c r="C39">
        <v>1395</v>
      </c>
    </row>
    <row r="40" spans="1:3">
      <c r="A40">
        <v>798</v>
      </c>
      <c r="B40" s="1">
        <v>42381</v>
      </c>
      <c r="C40">
        <v>1477</v>
      </c>
    </row>
    <row r="41" spans="1:3">
      <c r="A41">
        <v>799</v>
      </c>
      <c r="B41" s="1">
        <v>42381</v>
      </c>
      <c r="C41">
        <v>1570</v>
      </c>
    </row>
    <row r="42" spans="1:3">
      <c r="A42">
        <v>800</v>
      </c>
      <c r="B42" s="1">
        <v>42381</v>
      </c>
      <c r="C42">
        <v>1676</v>
      </c>
    </row>
    <row r="43" spans="1:3">
      <c r="A43">
        <v>801</v>
      </c>
      <c r="B43" s="1">
        <v>42381</v>
      </c>
      <c r="C43">
        <v>1798</v>
      </c>
    </row>
    <row r="44" spans="1:3">
      <c r="A44">
        <v>802</v>
      </c>
      <c r="B44" s="1">
        <v>42381</v>
      </c>
      <c r="C44">
        <v>1941</v>
      </c>
    </row>
    <row r="45" spans="1:3">
      <c r="A45">
        <v>803</v>
      </c>
      <c r="B45" s="1">
        <v>42381</v>
      </c>
      <c r="C45">
        <v>2110</v>
      </c>
    </row>
    <row r="46" spans="1:3">
      <c r="A46">
        <v>804</v>
      </c>
      <c r="B46" s="1">
        <v>42381</v>
      </c>
      <c r="C46">
        <v>2312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:C46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4.875" bestFit="1" customWidth="1"/>
  </cols>
  <sheetData>
    <row r="1" spans="1:3">
      <c r="A1">
        <v>660</v>
      </c>
      <c r="B1" s="1">
        <v>42381</v>
      </c>
      <c r="C1">
        <v>227</v>
      </c>
    </row>
    <row r="2" spans="1:3">
      <c r="A2">
        <v>672</v>
      </c>
      <c r="B2" s="1">
        <v>42381</v>
      </c>
      <c r="C2">
        <v>239</v>
      </c>
    </row>
    <row r="3" spans="1:3">
      <c r="A3">
        <v>684</v>
      </c>
      <c r="B3" s="1">
        <v>42381</v>
      </c>
      <c r="C3">
        <v>253</v>
      </c>
    </row>
    <row r="4" spans="1:3">
      <c r="A4">
        <v>696</v>
      </c>
      <c r="B4" s="1">
        <v>42381</v>
      </c>
      <c r="C4">
        <v>270</v>
      </c>
    </row>
    <row r="5" spans="1:3">
      <c r="A5">
        <v>708</v>
      </c>
      <c r="B5" s="1">
        <v>42381</v>
      </c>
      <c r="C5">
        <v>291</v>
      </c>
    </row>
    <row r="6" spans="1:3">
      <c r="A6">
        <v>720</v>
      </c>
      <c r="B6" s="1">
        <v>42381</v>
      </c>
      <c r="C6">
        <v>317</v>
      </c>
    </row>
    <row r="7" spans="1:3">
      <c r="A7">
        <v>732</v>
      </c>
      <c r="B7" s="1">
        <v>42381</v>
      </c>
      <c r="C7">
        <v>350</v>
      </c>
    </row>
    <row r="8" spans="1:3">
      <c r="A8">
        <v>744</v>
      </c>
      <c r="B8" s="1">
        <v>42381</v>
      </c>
      <c r="C8">
        <v>396</v>
      </c>
    </row>
    <row r="9" spans="1:3">
      <c r="A9">
        <v>756</v>
      </c>
      <c r="B9" s="1">
        <v>42381</v>
      </c>
      <c r="C9">
        <v>460</v>
      </c>
    </row>
    <row r="10" spans="1:3">
      <c r="A10">
        <v>768</v>
      </c>
      <c r="B10" s="1">
        <v>42381</v>
      </c>
      <c r="C10">
        <v>556</v>
      </c>
    </row>
    <row r="11" spans="1:3">
      <c r="A11">
        <v>769</v>
      </c>
      <c r="B11" s="1">
        <v>42381</v>
      </c>
      <c r="C11">
        <v>566</v>
      </c>
    </row>
    <row r="12" spans="1:3">
      <c r="A12">
        <v>770</v>
      </c>
      <c r="B12" s="1">
        <v>42381</v>
      </c>
      <c r="C12">
        <v>577</v>
      </c>
    </row>
    <row r="13" spans="1:3">
      <c r="A13">
        <v>771</v>
      </c>
      <c r="B13" s="1">
        <v>42381</v>
      </c>
      <c r="C13">
        <v>588</v>
      </c>
    </row>
    <row r="14" spans="1:3">
      <c r="A14">
        <v>772</v>
      </c>
      <c r="B14" s="1">
        <v>42381</v>
      </c>
      <c r="C14">
        <v>600</v>
      </c>
    </row>
    <row r="15" spans="1:3">
      <c r="A15">
        <v>773</v>
      </c>
      <c r="B15" s="1">
        <v>42381</v>
      </c>
      <c r="C15">
        <v>612</v>
      </c>
    </row>
    <row r="16" spans="1:3">
      <c r="A16">
        <v>774</v>
      </c>
      <c r="B16" s="1">
        <v>42381</v>
      </c>
      <c r="C16">
        <v>625</v>
      </c>
    </row>
    <row r="17" spans="1:3">
      <c r="A17">
        <v>775</v>
      </c>
      <c r="B17" s="1">
        <v>42381</v>
      </c>
      <c r="C17">
        <v>639</v>
      </c>
    </row>
    <row r="18" spans="1:3">
      <c r="A18">
        <v>776</v>
      </c>
      <c r="B18" s="1">
        <v>42381</v>
      </c>
      <c r="C18">
        <v>653</v>
      </c>
    </row>
    <row r="19" spans="1:3">
      <c r="A19">
        <v>777</v>
      </c>
      <c r="B19" s="1">
        <v>42381</v>
      </c>
      <c r="C19">
        <v>668</v>
      </c>
    </row>
    <row r="20" spans="1:3">
      <c r="A20">
        <v>778</v>
      </c>
      <c r="B20" s="1">
        <v>42381</v>
      </c>
      <c r="C20">
        <v>684</v>
      </c>
    </row>
    <row r="21" spans="1:3">
      <c r="A21">
        <v>779</v>
      </c>
      <c r="B21" s="1">
        <v>42381</v>
      </c>
      <c r="C21">
        <v>700</v>
      </c>
    </row>
    <row r="22" spans="1:3">
      <c r="A22">
        <v>780</v>
      </c>
      <c r="B22" s="1">
        <v>42381</v>
      </c>
      <c r="C22">
        <v>718</v>
      </c>
    </row>
    <row r="23" spans="1:3">
      <c r="A23">
        <v>781</v>
      </c>
      <c r="B23" s="1">
        <v>42381</v>
      </c>
      <c r="C23">
        <v>737</v>
      </c>
    </row>
    <row r="24" spans="1:3">
      <c r="A24">
        <v>782</v>
      </c>
      <c r="B24" s="1">
        <v>42381</v>
      </c>
      <c r="C24">
        <v>757</v>
      </c>
    </row>
    <row r="25" spans="1:3">
      <c r="A25">
        <v>783</v>
      </c>
      <c r="B25" s="1">
        <v>42381</v>
      </c>
      <c r="C25">
        <v>778</v>
      </c>
    </row>
    <row r="26" spans="1:3">
      <c r="A26">
        <v>784</v>
      </c>
      <c r="B26" s="1">
        <v>42381</v>
      </c>
      <c r="C26">
        <v>800</v>
      </c>
    </row>
    <row r="27" spans="1:3">
      <c r="A27">
        <v>785</v>
      </c>
      <c r="B27" s="1">
        <v>42381</v>
      </c>
      <c r="C27">
        <v>824</v>
      </c>
    </row>
    <row r="28" spans="1:3">
      <c r="A28">
        <v>786</v>
      </c>
      <c r="B28" s="1">
        <v>42381</v>
      </c>
      <c r="C28">
        <v>849</v>
      </c>
    </row>
    <row r="29" spans="1:3">
      <c r="A29">
        <v>787</v>
      </c>
      <c r="B29" s="1">
        <v>42381</v>
      </c>
      <c r="C29">
        <v>877</v>
      </c>
    </row>
    <row r="30" spans="1:3">
      <c r="A30">
        <v>788</v>
      </c>
      <c r="B30" s="1">
        <v>42381</v>
      </c>
      <c r="C30">
        <v>906</v>
      </c>
    </row>
    <row r="31" spans="1:3">
      <c r="A31">
        <v>789</v>
      </c>
      <c r="B31" s="1">
        <v>42381</v>
      </c>
      <c r="C31">
        <v>938</v>
      </c>
    </row>
    <row r="32" spans="1:3">
      <c r="A32">
        <v>790</v>
      </c>
      <c r="B32" s="1">
        <v>42381</v>
      </c>
      <c r="C32">
        <v>972</v>
      </c>
    </row>
    <row r="33" spans="1:3">
      <c r="A33">
        <v>791</v>
      </c>
      <c r="B33" s="1">
        <v>42381</v>
      </c>
      <c r="C33">
        <v>1009</v>
      </c>
    </row>
    <row r="34" spans="1:3">
      <c r="A34">
        <v>792</v>
      </c>
      <c r="B34" s="1">
        <v>42381</v>
      </c>
      <c r="C34">
        <v>1049</v>
      </c>
    </row>
    <row r="35" spans="1:3">
      <c r="A35">
        <v>793</v>
      </c>
      <c r="B35" s="1">
        <v>42381</v>
      </c>
      <c r="C35">
        <v>1093</v>
      </c>
    </row>
    <row r="36" spans="1:3">
      <c r="A36">
        <v>794</v>
      </c>
      <c r="B36" s="1">
        <v>42381</v>
      </c>
      <c r="C36">
        <v>1141</v>
      </c>
    </row>
    <row r="37" spans="1:3">
      <c r="A37">
        <v>795</v>
      </c>
      <c r="B37" s="1">
        <v>42381</v>
      </c>
      <c r="C37">
        <v>1194</v>
      </c>
    </row>
    <row r="38" spans="1:3">
      <c r="A38">
        <v>796</v>
      </c>
      <c r="B38" s="1">
        <v>42381</v>
      </c>
      <c r="C38">
        <v>1253</v>
      </c>
    </row>
    <row r="39" spans="1:3">
      <c r="A39">
        <v>797</v>
      </c>
      <c r="B39" s="1">
        <v>42381</v>
      </c>
      <c r="C39">
        <v>1318</v>
      </c>
    </row>
    <row r="40" spans="1:3">
      <c r="A40">
        <v>798</v>
      </c>
      <c r="B40" s="1">
        <v>42381</v>
      </c>
      <c r="C40">
        <v>1390</v>
      </c>
    </row>
    <row r="41" spans="1:3">
      <c r="A41">
        <v>799</v>
      </c>
      <c r="B41" s="1">
        <v>42381</v>
      </c>
      <c r="C41">
        <v>1472</v>
      </c>
    </row>
    <row r="42" spans="1:3">
      <c r="A42">
        <v>800</v>
      </c>
      <c r="B42" s="1">
        <v>42381</v>
      </c>
      <c r="C42">
        <v>1564</v>
      </c>
    </row>
    <row r="43" spans="1:3">
      <c r="A43">
        <v>801</v>
      </c>
      <c r="B43" s="1">
        <v>42381</v>
      </c>
      <c r="C43">
        <v>1670</v>
      </c>
    </row>
    <row r="44" spans="1:3">
      <c r="A44">
        <v>802</v>
      </c>
      <c r="B44" s="1">
        <v>42381</v>
      </c>
      <c r="C44">
        <v>1792</v>
      </c>
    </row>
    <row r="45" spans="1:3">
      <c r="A45">
        <v>803</v>
      </c>
      <c r="B45" s="1">
        <v>42381</v>
      </c>
      <c r="C45">
        <v>1934</v>
      </c>
    </row>
    <row r="46" spans="1:3">
      <c r="A46">
        <v>804</v>
      </c>
      <c r="B46" s="1">
        <v>42381</v>
      </c>
      <c r="C46">
        <v>2102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:C46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4.875" bestFit="1" customWidth="1"/>
  </cols>
  <sheetData>
    <row r="1" spans="1:3">
      <c r="A1">
        <v>660</v>
      </c>
      <c r="B1" s="1">
        <v>42381</v>
      </c>
      <c r="C1">
        <v>225</v>
      </c>
    </row>
    <row r="2" spans="1:3">
      <c r="A2">
        <v>672</v>
      </c>
      <c r="B2" s="1">
        <v>42381</v>
      </c>
      <c r="C2">
        <v>237</v>
      </c>
    </row>
    <row r="3" spans="1:3">
      <c r="A3">
        <v>684</v>
      </c>
      <c r="B3" s="1">
        <v>42381</v>
      </c>
      <c r="C3">
        <v>251</v>
      </c>
    </row>
    <row r="4" spans="1:3">
      <c r="A4">
        <v>696</v>
      </c>
      <c r="B4" s="1">
        <v>42381</v>
      </c>
      <c r="C4">
        <v>268</v>
      </c>
    </row>
    <row r="5" spans="1:3">
      <c r="A5">
        <v>708</v>
      </c>
      <c r="B5" s="1">
        <v>42381</v>
      </c>
      <c r="C5">
        <v>288</v>
      </c>
    </row>
    <row r="6" spans="1:3">
      <c r="A6">
        <v>720</v>
      </c>
      <c r="B6" s="1">
        <v>42381</v>
      </c>
      <c r="C6">
        <v>313</v>
      </c>
    </row>
    <row r="7" spans="1:3">
      <c r="A7">
        <v>732</v>
      </c>
      <c r="B7" s="1">
        <v>42381</v>
      </c>
      <c r="C7">
        <v>346</v>
      </c>
    </row>
    <row r="8" spans="1:3">
      <c r="A8">
        <v>744</v>
      </c>
      <c r="B8" s="1">
        <v>42381</v>
      </c>
      <c r="C8">
        <v>390</v>
      </c>
    </row>
    <row r="9" spans="1:3">
      <c r="A9">
        <v>756</v>
      </c>
      <c r="B9" s="1">
        <v>42381</v>
      </c>
      <c r="C9">
        <v>452</v>
      </c>
    </row>
    <row r="10" spans="1:3">
      <c r="A10">
        <v>768</v>
      </c>
      <c r="B10" s="1">
        <v>42381</v>
      </c>
      <c r="C10">
        <v>544</v>
      </c>
    </row>
    <row r="11" spans="1:3">
      <c r="A11">
        <v>769</v>
      </c>
      <c r="B11" s="1">
        <v>42381</v>
      </c>
      <c r="C11">
        <v>554</v>
      </c>
    </row>
    <row r="12" spans="1:3">
      <c r="A12">
        <v>770</v>
      </c>
      <c r="B12" s="1">
        <v>42381</v>
      </c>
      <c r="C12">
        <v>564</v>
      </c>
    </row>
    <row r="13" spans="1:3">
      <c r="A13">
        <v>771</v>
      </c>
      <c r="B13" s="1">
        <v>42381</v>
      </c>
      <c r="C13">
        <v>575</v>
      </c>
    </row>
    <row r="14" spans="1:3">
      <c r="A14">
        <v>772</v>
      </c>
      <c r="B14" s="1">
        <v>42381</v>
      </c>
      <c r="C14">
        <v>586</v>
      </c>
    </row>
    <row r="15" spans="1:3">
      <c r="A15">
        <v>773</v>
      </c>
      <c r="B15" s="1">
        <v>42381</v>
      </c>
      <c r="C15">
        <v>598</v>
      </c>
    </row>
    <row r="16" spans="1:3">
      <c r="A16">
        <v>774</v>
      </c>
      <c r="B16" s="1">
        <v>42381</v>
      </c>
      <c r="C16">
        <v>610</v>
      </c>
    </row>
    <row r="17" spans="1:3">
      <c r="A17">
        <v>775</v>
      </c>
      <c r="B17" s="1">
        <v>42381</v>
      </c>
      <c r="C17">
        <v>623</v>
      </c>
    </row>
    <row r="18" spans="1:3">
      <c r="A18">
        <v>776</v>
      </c>
      <c r="B18" s="1">
        <v>42381</v>
      </c>
      <c r="C18">
        <v>637</v>
      </c>
    </row>
    <row r="19" spans="1:3">
      <c r="A19">
        <v>777</v>
      </c>
      <c r="B19" s="1">
        <v>42381</v>
      </c>
      <c r="C19">
        <v>651</v>
      </c>
    </row>
    <row r="20" spans="1:3">
      <c r="A20">
        <v>778</v>
      </c>
      <c r="B20" s="1">
        <v>42381</v>
      </c>
      <c r="C20">
        <v>666</v>
      </c>
    </row>
    <row r="21" spans="1:3">
      <c r="A21">
        <v>779</v>
      </c>
      <c r="B21" s="1">
        <v>42381</v>
      </c>
      <c r="C21">
        <v>682</v>
      </c>
    </row>
    <row r="22" spans="1:3">
      <c r="A22">
        <v>780</v>
      </c>
      <c r="B22" s="1">
        <v>42381</v>
      </c>
      <c r="C22">
        <v>698</v>
      </c>
    </row>
    <row r="23" spans="1:3">
      <c r="A23">
        <v>781</v>
      </c>
      <c r="B23" s="1">
        <v>42381</v>
      </c>
      <c r="C23">
        <v>716</v>
      </c>
    </row>
    <row r="24" spans="1:3">
      <c r="A24">
        <v>782</v>
      </c>
      <c r="B24" s="1">
        <v>42381</v>
      </c>
      <c r="C24">
        <v>734</v>
      </c>
    </row>
    <row r="25" spans="1:3">
      <c r="A25">
        <v>783</v>
      </c>
      <c r="B25" s="1">
        <v>42381</v>
      </c>
      <c r="C25">
        <v>754</v>
      </c>
    </row>
    <row r="26" spans="1:3">
      <c r="A26">
        <v>784</v>
      </c>
      <c r="B26" s="1">
        <v>42381</v>
      </c>
      <c r="C26">
        <v>775</v>
      </c>
    </row>
    <row r="27" spans="1:3">
      <c r="A27">
        <v>785</v>
      </c>
      <c r="B27" s="1">
        <v>42381</v>
      </c>
      <c r="C27">
        <v>797</v>
      </c>
    </row>
    <row r="28" spans="1:3">
      <c r="A28">
        <v>786</v>
      </c>
      <c r="B28" s="1">
        <v>42381</v>
      </c>
      <c r="C28">
        <v>821</v>
      </c>
    </row>
    <row r="29" spans="1:3">
      <c r="A29">
        <v>787</v>
      </c>
      <c r="B29" s="1">
        <v>42381</v>
      </c>
      <c r="C29">
        <v>847</v>
      </c>
    </row>
    <row r="30" spans="1:3">
      <c r="A30">
        <v>788</v>
      </c>
      <c r="B30" s="1">
        <v>42381</v>
      </c>
      <c r="C30">
        <v>874</v>
      </c>
    </row>
    <row r="31" spans="1:3">
      <c r="A31">
        <v>789</v>
      </c>
      <c r="B31" s="1">
        <v>42381</v>
      </c>
      <c r="C31">
        <v>903</v>
      </c>
    </row>
    <row r="32" spans="1:3">
      <c r="A32">
        <v>790</v>
      </c>
      <c r="B32" s="1">
        <v>42381</v>
      </c>
      <c r="C32">
        <v>935</v>
      </c>
    </row>
    <row r="33" spans="1:3">
      <c r="A33">
        <v>791</v>
      </c>
      <c r="B33" s="1">
        <v>42381</v>
      </c>
      <c r="C33">
        <v>969</v>
      </c>
    </row>
    <row r="34" spans="1:3">
      <c r="A34">
        <v>792</v>
      </c>
      <c r="B34" s="1">
        <v>42381</v>
      </c>
      <c r="C34">
        <v>1006</v>
      </c>
    </row>
    <row r="35" spans="1:3">
      <c r="A35">
        <v>793</v>
      </c>
      <c r="B35" s="1">
        <v>42381</v>
      </c>
      <c r="C35">
        <v>1046</v>
      </c>
    </row>
    <row r="36" spans="1:3">
      <c r="A36">
        <v>794</v>
      </c>
      <c r="B36" s="1">
        <v>42381</v>
      </c>
      <c r="C36">
        <v>1089</v>
      </c>
    </row>
    <row r="37" spans="1:3">
      <c r="A37">
        <v>795</v>
      </c>
      <c r="B37" s="1">
        <v>42381</v>
      </c>
      <c r="C37">
        <v>1137</v>
      </c>
    </row>
    <row r="38" spans="1:3">
      <c r="A38">
        <v>796</v>
      </c>
      <c r="B38" s="1">
        <v>42381</v>
      </c>
      <c r="C38">
        <v>1190</v>
      </c>
    </row>
    <row r="39" spans="1:3">
      <c r="A39">
        <v>797</v>
      </c>
      <c r="B39" s="1">
        <v>42381</v>
      </c>
      <c r="C39">
        <v>1248</v>
      </c>
    </row>
    <row r="40" spans="1:3">
      <c r="A40">
        <v>798</v>
      </c>
      <c r="B40" s="1">
        <v>42381</v>
      </c>
      <c r="C40">
        <v>1313</v>
      </c>
    </row>
    <row r="41" spans="1:3">
      <c r="A41">
        <v>799</v>
      </c>
      <c r="B41" s="1">
        <v>42381</v>
      </c>
      <c r="C41">
        <v>1385</v>
      </c>
    </row>
    <row r="42" spans="1:3">
      <c r="A42">
        <v>800</v>
      </c>
      <c r="B42" s="1">
        <v>42381</v>
      </c>
      <c r="C42">
        <v>1467</v>
      </c>
    </row>
    <row r="43" spans="1:3">
      <c r="A43">
        <v>801</v>
      </c>
      <c r="B43" s="1">
        <v>42381</v>
      </c>
      <c r="C43">
        <v>1559</v>
      </c>
    </row>
    <row r="44" spans="1:3">
      <c r="A44">
        <v>802</v>
      </c>
      <c r="B44" s="1">
        <v>42381</v>
      </c>
      <c r="C44">
        <v>1664</v>
      </c>
    </row>
    <row r="45" spans="1:3">
      <c r="A45">
        <v>803</v>
      </c>
      <c r="B45" s="1">
        <v>42381</v>
      </c>
      <c r="C45">
        <v>1785</v>
      </c>
    </row>
    <row r="46" spans="1:3">
      <c r="A46">
        <v>804</v>
      </c>
      <c r="B46" s="1">
        <v>42381</v>
      </c>
      <c r="C46">
        <v>1927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:C71"/>
  <sheetViews>
    <sheetView workbookViewId="0"/>
  </sheetViews>
  <sheetFormatPr defaultRowHeight="15.75"/>
  <cols>
    <col min="1" max="1" width="4.875" bestFit="1" customWidth="1"/>
    <col min="2" max="2" width="10.125" bestFit="1" customWidth="1"/>
    <col min="3" max="3" width="3.875" bestFit="1" customWidth="1"/>
  </cols>
  <sheetData>
    <row r="1" spans="1:3">
      <c r="A1">
        <v>240</v>
      </c>
      <c r="B1" s="1">
        <v>42011</v>
      </c>
      <c r="C1">
        <v>0</v>
      </c>
    </row>
    <row r="2" spans="1:3">
      <c r="A2">
        <v>252</v>
      </c>
      <c r="B2" s="1">
        <v>42011</v>
      </c>
      <c r="C2">
        <v>436</v>
      </c>
    </row>
    <row r="3" spans="1:3">
      <c r="A3">
        <v>264</v>
      </c>
      <c r="B3" s="1">
        <v>42011</v>
      </c>
      <c r="C3">
        <v>431</v>
      </c>
    </row>
    <row r="4" spans="1:3">
      <c r="A4">
        <v>276</v>
      </c>
      <c r="B4" s="1">
        <v>42011</v>
      </c>
      <c r="C4">
        <v>427</v>
      </c>
    </row>
    <row r="5" spans="1:3">
      <c r="A5">
        <v>288</v>
      </c>
      <c r="B5" s="1">
        <v>42011</v>
      </c>
      <c r="C5">
        <v>423</v>
      </c>
    </row>
    <row r="6" spans="1:3">
      <c r="A6">
        <v>300</v>
      </c>
      <c r="B6" s="1">
        <v>42011</v>
      </c>
      <c r="C6">
        <v>419</v>
      </c>
    </row>
    <row r="7" spans="1:3">
      <c r="A7">
        <v>312</v>
      </c>
      <c r="B7" s="1">
        <v>42011</v>
      </c>
      <c r="C7">
        <v>415</v>
      </c>
    </row>
    <row r="8" spans="1:3">
      <c r="A8">
        <v>324</v>
      </c>
      <c r="B8" s="1">
        <v>42011</v>
      </c>
      <c r="C8">
        <v>411</v>
      </c>
    </row>
    <row r="9" spans="1:3">
      <c r="A9">
        <v>336</v>
      </c>
      <c r="B9" s="1">
        <v>42011</v>
      </c>
      <c r="C9">
        <v>407</v>
      </c>
    </row>
    <row r="10" spans="1:3">
      <c r="A10">
        <v>348</v>
      </c>
      <c r="B10" s="1">
        <v>42011</v>
      </c>
      <c r="C10">
        <v>404</v>
      </c>
    </row>
    <row r="11" spans="1:3">
      <c r="A11">
        <v>360</v>
      </c>
      <c r="B11" s="1">
        <v>42011</v>
      </c>
      <c r="C11">
        <v>400</v>
      </c>
    </row>
    <row r="12" spans="1:3">
      <c r="A12">
        <v>372</v>
      </c>
      <c r="B12" s="1">
        <v>42011</v>
      </c>
      <c r="C12">
        <v>397</v>
      </c>
    </row>
    <row r="13" spans="1:3">
      <c r="A13">
        <v>384</v>
      </c>
      <c r="B13" s="1">
        <v>42011</v>
      </c>
      <c r="C13">
        <v>394</v>
      </c>
    </row>
    <row r="14" spans="1:3">
      <c r="A14">
        <v>396</v>
      </c>
      <c r="B14" s="1">
        <v>42011</v>
      </c>
      <c r="C14">
        <v>390</v>
      </c>
    </row>
    <row r="15" spans="1:3">
      <c r="A15">
        <v>408</v>
      </c>
      <c r="B15" s="1">
        <v>42011</v>
      </c>
      <c r="C15">
        <v>388</v>
      </c>
    </row>
    <row r="16" spans="1:3">
      <c r="A16">
        <v>420</v>
      </c>
      <c r="B16" s="1">
        <v>42011</v>
      </c>
      <c r="C16">
        <v>385</v>
      </c>
    </row>
    <row r="17" spans="1:3">
      <c r="A17">
        <v>432</v>
      </c>
      <c r="B17" s="1">
        <v>42011</v>
      </c>
      <c r="C17">
        <v>382</v>
      </c>
    </row>
    <row r="18" spans="1:3">
      <c r="A18">
        <v>444</v>
      </c>
      <c r="B18" s="1">
        <v>42011</v>
      </c>
      <c r="C18">
        <v>380</v>
      </c>
    </row>
    <row r="19" spans="1:3">
      <c r="A19">
        <v>456</v>
      </c>
      <c r="B19" s="1">
        <v>42011</v>
      </c>
      <c r="C19">
        <v>377</v>
      </c>
    </row>
    <row r="20" spans="1:3">
      <c r="A20">
        <v>468</v>
      </c>
      <c r="B20" s="1">
        <v>42011</v>
      </c>
      <c r="C20">
        <v>375</v>
      </c>
    </row>
    <row r="21" spans="1:3">
      <c r="A21">
        <v>480</v>
      </c>
      <c r="B21" s="1">
        <v>42011</v>
      </c>
      <c r="C21">
        <v>373</v>
      </c>
    </row>
    <row r="22" spans="1:3">
      <c r="A22">
        <v>492</v>
      </c>
      <c r="B22" s="1">
        <v>42011</v>
      </c>
      <c r="C22">
        <v>371</v>
      </c>
    </row>
    <row r="23" spans="1:3">
      <c r="A23">
        <v>504</v>
      </c>
      <c r="B23" s="1">
        <v>42011</v>
      </c>
      <c r="C23">
        <v>369</v>
      </c>
    </row>
    <row r="24" spans="1:3">
      <c r="A24">
        <v>516</v>
      </c>
      <c r="B24" s="1">
        <v>42011</v>
      </c>
      <c r="C24">
        <v>368</v>
      </c>
    </row>
    <row r="25" spans="1:3">
      <c r="A25">
        <v>528</v>
      </c>
      <c r="B25" s="1">
        <v>42011</v>
      </c>
      <c r="C25">
        <v>366</v>
      </c>
    </row>
    <row r="26" spans="1:3">
      <c r="A26">
        <v>540</v>
      </c>
      <c r="B26" s="1">
        <v>42011</v>
      </c>
      <c r="C26">
        <v>365</v>
      </c>
    </row>
    <row r="27" spans="1:3">
      <c r="A27">
        <v>552</v>
      </c>
      <c r="B27" s="1">
        <v>42011</v>
      </c>
      <c r="C27">
        <v>364</v>
      </c>
    </row>
    <row r="28" spans="1:3">
      <c r="A28">
        <v>564</v>
      </c>
      <c r="B28" s="1">
        <v>42011</v>
      </c>
      <c r="C28">
        <v>363</v>
      </c>
    </row>
    <row r="29" spans="1:3">
      <c r="A29">
        <v>576</v>
      </c>
      <c r="B29" s="1">
        <v>42011</v>
      </c>
      <c r="C29">
        <v>363</v>
      </c>
    </row>
    <row r="30" spans="1:3">
      <c r="A30">
        <v>588</v>
      </c>
      <c r="B30" s="1">
        <v>42011</v>
      </c>
      <c r="C30">
        <v>363</v>
      </c>
    </row>
    <row r="31" spans="1:3">
      <c r="A31">
        <v>600</v>
      </c>
      <c r="B31" s="1">
        <v>42011</v>
      </c>
      <c r="C31">
        <v>363</v>
      </c>
    </row>
    <row r="32" spans="1:3">
      <c r="A32">
        <v>612</v>
      </c>
      <c r="B32" s="1">
        <v>42011</v>
      </c>
      <c r="C32">
        <v>364</v>
      </c>
    </row>
    <row r="33" spans="1:3">
      <c r="A33">
        <v>624</v>
      </c>
      <c r="B33" s="1">
        <v>42011</v>
      </c>
      <c r="C33">
        <v>364</v>
      </c>
    </row>
    <row r="34" spans="1:3">
      <c r="A34">
        <v>636</v>
      </c>
      <c r="B34" s="1">
        <v>42011</v>
      </c>
      <c r="C34">
        <v>366</v>
      </c>
    </row>
    <row r="35" spans="1:3">
      <c r="A35">
        <v>648</v>
      </c>
      <c r="B35" s="1">
        <v>42011</v>
      </c>
      <c r="C35">
        <v>367</v>
      </c>
    </row>
    <row r="36" spans="1:3">
      <c r="A36">
        <v>660</v>
      </c>
      <c r="B36" s="1">
        <v>42011</v>
      </c>
      <c r="C36">
        <v>369</v>
      </c>
    </row>
    <row r="37" spans="1:3">
      <c r="A37">
        <v>672</v>
      </c>
      <c r="B37" s="1">
        <v>42011</v>
      </c>
      <c r="C37">
        <v>371</v>
      </c>
    </row>
    <row r="38" spans="1:3">
      <c r="A38">
        <v>684</v>
      </c>
      <c r="B38" s="1">
        <v>42011</v>
      </c>
      <c r="C38">
        <v>374</v>
      </c>
    </row>
    <row r="39" spans="1:3">
      <c r="A39">
        <v>696</v>
      </c>
      <c r="B39" s="1">
        <v>42011</v>
      </c>
      <c r="C39">
        <v>377</v>
      </c>
    </row>
    <row r="40" spans="1:3">
      <c r="A40">
        <v>708</v>
      </c>
      <c r="B40" s="1">
        <v>42011</v>
      </c>
      <c r="C40">
        <v>381</v>
      </c>
    </row>
    <row r="41" spans="1:3">
      <c r="A41">
        <v>720</v>
      </c>
      <c r="B41" s="1">
        <v>42011</v>
      </c>
      <c r="C41">
        <v>386</v>
      </c>
    </row>
    <row r="42" spans="1:3">
      <c r="A42">
        <v>732</v>
      </c>
      <c r="B42" s="1">
        <v>42011</v>
      </c>
      <c r="C42">
        <v>392</v>
      </c>
    </row>
    <row r="43" spans="1:3">
      <c r="A43">
        <v>744</v>
      </c>
      <c r="B43" s="1">
        <v>42011</v>
      </c>
      <c r="C43">
        <v>400</v>
      </c>
    </row>
    <row r="44" spans="1:3">
      <c r="A44">
        <v>756</v>
      </c>
      <c r="B44" s="1">
        <v>42011</v>
      </c>
      <c r="C44">
        <v>408</v>
      </c>
    </row>
    <row r="45" spans="1:3">
      <c r="A45">
        <v>768</v>
      </c>
      <c r="B45" s="1">
        <v>42011</v>
      </c>
      <c r="C45">
        <v>417</v>
      </c>
    </row>
    <row r="46" spans="1:3">
      <c r="A46">
        <v>780</v>
      </c>
      <c r="B46" s="1">
        <v>42011</v>
      </c>
      <c r="C46">
        <v>429</v>
      </c>
    </row>
    <row r="47" spans="1:3">
      <c r="A47">
        <v>792</v>
      </c>
      <c r="B47" s="1">
        <v>42011</v>
      </c>
      <c r="C47">
        <v>411</v>
      </c>
    </row>
    <row r="48" spans="1:3">
      <c r="A48">
        <v>804</v>
      </c>
      <c r="B48" s="1">
        <v>42011</v>
      </c>
      <c r="C48">
        <v>395</v>
      </c>
    </row>
    <row r="49" spans="1:3">
      <c r="A49">
        <v>816</v>
      </c>
      <c r="B49" s="1">
        <v>42011</v>
      </c>
      <c r="C49">
        <v>380</v>
      </c>
    </row>
    <row r="50" spans="1:3">
      <c r="A50">
        <v>828</v>
      </c>
      <c r="B50" s="1">
        <v>42011</v>
      </c>
      <c r="C50">
        <v>365</v>
      </c>
    </row>
    <row r="51" spans="1:3">
      <c r="A51">
        <v>840</v>
      </c>
      <c r="B51" s="1">
        <v>42011</v>
      </c>
      <c r="C51">
        <v>352</v>
      </c>
    </row>
    <row r="52" spans="1:3">
      <c r="A52">
        <v>852</v>
      </c>
      <c r="B52" s="1">
        <v>42011</v>
      </c>
      <c r="C52">
        <v>339</v>
      </c>
    </row>
    <row r="53" spans="1:3">
      <c r="A53">
        <v>864</v>
      </c>
      <c r="B53" s="1">
        <v>42011</v>
      </c>
      <c r="C53">
        <v>327</v>
      </c>
    </row>
    <row r="54" spans="1:3">
      <c r="A54">
        <v>876</v>
      </c>
      <c r="B54" s="1">
        <v>42011</v>
      </c>
      <c r="C54">
        <v>315</v>
      </c>
    </row>
    <row r="55" spans="1:3">
      <c r="A55">
        <v>888</v>
      </c>
      <c r="B55" s="1">
        <v>42011</v>
      </c>
      <c r="C55">
        <v>305</v>
      </c>
    </row>
    <row r="56" spans="1:3">
      <c r="A56">
        <v>900</v>
      </c>
      <c r="B56" s="1">
        <v>42011</v>
      </c>
      <c r="C56">
        <v>296</v>
      </c>
    </row>
    <row r="57" spans="1:3">
      <c r="A57">
        <v>912</v>
      </c>
      <c r="B57" s="1">
        <v>42011</v>
      </c>
      <c r="C57">
        <v>287</v>
      </c>
    </row>
    <row r="58" spans="1:3">
      <c r="A58">
        <v>924</v>
      </c>
      <c r="B58" s="1">
        <v>42011</v>
      </c>
      <c r="C58">
        <v>280</v>
      </c>
    </row>
    <row r="59" spans="1:3">
      <c r="A59">
        <v>936</v>
      </c>
      <c r="B59" s="1">
        <v>42011</v>
      </c>
      <c r="C59">
        <v>274</v>
      </c>
    </row>
    <row r="60" spans="1:3">
      <c r="A60">
        <v>948</v>
      </c>
      <c r="B60" s="1">
        <v>42011</v>
      </c>
      <c r="C60">
        <v>269</v>
      </c>
    </row>
    <row r="61" spans="1:3">
      <c r="A61">
        <v>960</v>
      </c>
      <c r="B61" s="1">
        <v>42011</v>
      </c>
      <c r="C61">
        <v>265</v>
      </c>
    </row>
    <row r="62" spans="1:3">
      <c r="A62">
        <v>972</v>
      </c>
      <c r="B62" s="1">
        <v>42011</v>
      </c>
      <c r="C62">
        <v>262</v>
      </c>
    </row>
    <row r="63" spans="1:3">
      <c r="A63">
        <v>984</v>
      </c>
      <c r="B63" s="1">
        <v>42011</v>
      </c>
      <c r="C63">
        <v>261</v>
      </c>
    </row>
    <row r="64" spans="1:3">
      <c r="A64">
        <v>996</v>
      </c>
      <c r="B64" s="1">
        <v>42011</v>
      </c>
      <c r="C64">
        <v>261</v>
      </c>
    </row>
    <row r="65" spans="1:3">
      <c r="A65">
        <v>1008</v>
      </c>
      <c r="B65" s="1">
        <v>42011</v>
      </c>
      <c r="C65">
        <v>263</v>
      </c>
    </row>
    <row r="66" spans="1:3">
      <c r="A66">
        <v>1020</v>
      </c>
      <c r="B66" s="1">
        <v>42011</v>
      </c>
      <c r="C66">
        <v>267</v>
      </c>
    </row>
    <row r="67" spans="1:3">
      <c r="A67">
        <v>1032</v>
      </c>
      <c r="B67" s="1">
        <v>42011</v>
      </c>
      <c r="C67">
        <v>273</v>
      </c>
    </row>
    <row r="68" spans="1:3">
      <c r="A68">
        <v>1044</v>
      </c>
      <c r="B68" s="1">
        <v>42011</v>
      </c>
      <c r="C68">
        <v>282</v>
      </c>
    </row>
    <row r="69" spans="1:3">
      <c r="A69">
        <v>1056</v>
      </c>
      <c r="B69" s="1">
        <v>42011</v>
      </c>
      <c r="C69">
        <v>294</v>
      </c>
    </row>
    <row r="70" spans="1:3">
      <c r="A70">
        <v>1068</v>
      </c>
      <c r="B70" s="1">
        <v>42011</v>
      </c>
      <c r="C70">
        <v>311</v>
      </c>
    </row>
    <row r="71" spans="1:3">
      <c r="A71">
        <v>1080</v>
      </c>
      <c r="B71" s="1">
        <v>42011</v>
      </c>
      <c r="C71">
        <v>334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:C71"/>
  <sheetViews>
    <sheetView workbookViewId="0"/>
  </sheetViews>
  <sheetFormatPr defaultRowHeight="15.75"/>
  <cols>
    <col min="1" max="1" width="4.875" bestFit="1" customWidth="1"/>
    <col min="2" max="2" width="10.125" bestFit="1" customWidth="1"/>
    <col min="3" max="3" width="3.875" bestFit="1" customWidth="1"/>
  </cols>
  <sheetData>
    <row r="1" spans="1:3">
      <c r="A1">
        <v>240</v>
      </c>
      <c r="B1" s="1">
        <v>42011</v>
      </c>
      <c r="C1">
        <v>0</v>
      </c>
    </row>
    <row r="2" spans="1:3">
      <c r="A2">
        <v>252</v>
      </c>
      <c r="B2" s="1">
        <v>42011</v>
      </c>
      <c r="C2">
        <v>385</v>
      </c>
    </row>
    <row r="3" spans="1:3">
      <c r="A3">
        <v>264</v>
      </c>
      <c r="B3" s="1">
        <v>42011</v>
      </c>
      <c r="C3">
        <v>381</v>
      </c>
    </row>
    <row r="4" spans="1:3">
      <c r="A4">
        <v>276</v>
      </c>
      <c r="B4" s="1">
        <v>42011</v>
      </c>
      <c r="C4">
        <v>377</v>
      </c>
    </row>
    <row r="5" spans="1:3">
      <c r="A5">
        <v>288</v>
      </c>
      <c r="B5" s="1">
        <v>42011</v>
      </c>
      <c r="C5">
        <v>373</v>
      </c>
    </row>
    <row r="6" spans="1:3">
      <c r="A6">
        <v>300</v>
      </c>
      <c r="B6" s="1">
        <v>42011</v>
      </c>
      <c r="C6">
        <v>369</v>
      </c>
    </row>
    <row r="7" spans="1:3">
      <c r="A7">
        <v>312</v>
      </c>
      <c r="B7" s="1">
        <v>42011</v>
      </c>
      <c r="C7">
        <v>366</v>
      </c>
    </row>
    <row r="8" spans="1:3">
      <c r="A8">
        <v>324</v>
      </c>
      <c r="B8" s="1">
        <v>42011</v>
      </c>
      <c r="C8">
        <v>362</v>
      </c>
    </row>
    <row r="9" spans="1:3">
      <c r="A9">
        <v>336</v>
      </c>
      <c r="B9" s="1">
        <v>42011</v>
      </c>
      <c r="C9">
        <v>359</v>
      </c>
    </row>
    <row r="10" spans="1:3">
      <c r="A10">
        <v>348</v>
      </c>
      <c r="B10" s="1">
        <v>42011</v>
      </c>
      <c r="C10">
        <v>355</v>
      </c>
    </row>
    <row r="11" spans="1:3">
      <c r="A11">
        <v>360</v>
      </c>
      <c r="B11" s="1">
        <v>42011</v>
      </c>
      <c r="C11">
        <v>352</v>
      </c>
    </row>
    <row r="12" spans="1:3">
      <c r="A12">
        <v>372</v>
      </c>
      <c r="B12" s="1">
        <v>42011</v>
      </c>
      <c r="C12">
        <v>349</v>
      </c>
    </row>
    <row r="13" spans="1:3">
      <c r="A13">
        <v>384</v>
      </c>
      <c r="B13" s="1">
        <v>42011</v>
      </c>
      <c r="C13">
        <v>346</v>
      </c>
    </row>
    <row r="14" spans="1:3">
      <c r="A14">
        <v>396</v>
      </c>
      <c r="B14" s="1">
        <v>42011</v>
      </c>
      <c r="C14">
        <v>343</v>
      </c>
    </row>
    <row r="15" spans="1:3">
      <c r="A15">
        <v>408</v>
      </c>
      <c r="B15" s="1">
        <v>42011</v>
      </c>
      <c r="C15">
        <v>340</v>
      </c>
    </row>
    <row r="16" spans="1:3">
      <c r="A16">
        <v>420</v>
      </c>
      <c r="B16" s="1">
        <v>42011</v>
      </c>
      <c r="C16">
        <v>338</v>
      </c>
    </row>
    <row r="17" spans="1:3">
      <c r="A17">
        <v>432</v>
      </c>
      <c r="B17" s="1">
        <v>42011</v>
      </c>
      <c r="C17">
        <v>335</v>
      </c>
    </row>
    <row r="18" spans="1:3">
      <c r="A18">
        <v>444</v>
      </c>
      <c r="B18" s="1">
        <v>42011</v>
      </c>
      <c r="C18">
        <v>333</v>
      </c>
    </row>
    <row r="19" spans="1:3">
      <c r="A19">
        <v>456</v>
      </c>
      <c r="B19" s="1">
        <v>42011</v>
      </c>
      <c r="C19">
        <v>331</v>
      </c>
    </row>
    <row r="20" spans="1:3">
      <c r="A20">
        <v>468</v>
      </c>
      <c r="B20" s="1">
        <v>42011</v>
      </c>
      <c r="C20">
        <v>329</v>
      </c>
    </row>
    <row r="21" spans="1:3">
      <c r="A21">
        <v>480</v>
      </c>
      <c r="B21" s="1">
        <v>42011</v>
      </c>
      <c r="C21">
        <v>327</v>
      </c>
    </row>
    <row r="22" spans="1:3">
      <c r="A22">
        <v>492</v>
      </c>
      <c r="B22" s="1">
        <v>42011</v>
      </c>
      <c r="C22">
        <v>325</v>
      </c>
    </row>
    <row r="23" spans="1:3">
      <c r="A23">
        <v>504</v>
      </c>
      <c r="B23" s="1">
        <v>42011</v>
      </c>
      <c r="C23">
        <v>323</v>
      </c>
    </row>
    <row r="24" spans="1:3">
      <c r="A24">
        <v>516</v>
      </c>
      <c r="B24" s="1">
        <v>42011</v>
      </c>
      <c r="C24">
        <v>321</v>
      </c>
    </row>
    <row r="25" spans="1:3">
      <c r="A25">
        <v>528</v>
      </c>
      <c r="B25" s="1">
        <v>42011</v>
      </c>
      <c r="C25">
        <v>320</v>
      </c>
    </row>
    <row r="26" spans="1:3">
      <c r="A26">
        <v>540</v>
      </c>
      <c r="B26" s="1">
        <v>42011</v>
      </c>
      <c r="C26">
        <v>319</v>
      </c>
    </row>
    <row r="27" spans="1:3">
      <c r="A27">
        <v>552</v>
      </c>
      <c r="B27" s="1">
        <v>42011</v>
      </c>
      <c r="C27">
        <v>318</v>
      </c>
    </row>
    <row r="28" spans="1:3">
      <c r="A28">
        <v>564</v>
      </c>
      <c r="B28" s="1">
        <v>42011</v>
      </c>
      <c r="C28">
        <v>317</v>
      </c>
    </row>
    <row r="29" spans="1:3">
      <c r="A29">
        <v>576</v>
      </c>
      <c r="B29" s="1">
        <v>42011</v>
      </c>
      <c r="C29">
        <v>317</v>
      </c>
    </row>
    <row r="30" spans="1:3">
      <c r="A30">
        <v>588</v>
      </c>
      <c r="B30" s="1">
        <v>42011</v>
      </c>
      <c r="C30">
        <v>316</v>
      </c>
    </row>
    <row r="31" spans="1:3">
      <c r="A31">
        <v>600</v>
      </c>
      <c r="B31" s="1">
        <v>42011</v>
      </c>
      <c r="C31">
        <v>316</v>
      </c>
    </row>
    <row r="32" spans="1:3">
      <c r="A32">
        <v>612</v>
      </c>
      <c r="B32" s="1">
        <v>42011</v>
      </c>
      <c r="C32">
        <v>317</v>
      </c>
    </row>
    <row r="33" spans="1:3">
      <c r="A33">
        <v>624</v>
      </c>
      <c r="B33" s="1">
        <v>42011</v>
      </c>
      <c r="C33">
        <v>317</v>
      </c>
    </row>
    <row r="34" spans="1:3">
      <c r="A34">
        <v>636</v>
      </c>
      <c r="B34" s="1">
        <v>42011</v>
      </c>
      <c r="C34">
        <v>318</v>
      </c>
    </row>
    <row r="35" spans="1:3">
      <c r="A35">
        <v>648</v>
      </c>
      <c r="B35" s="1">
        <v>42011</v>
      </c>
      <c r="C35">
        <v>319</v>
      </c>
    </row>
    <row r="36" spans="1:3">
      <c r="A36">
        <v>660</v>
      </c>
      <c r="B36" s="1">
        <v>42011</v>
      </c>
      <c r="C36">
        <v>320</v>
      </c>
    </row>
    <row r="37" spans="1:3">
      <c r="A37">
        <v>672</v>
      </c>
      <c r="B37" s="1">
        <v>42011</v>
      </c>
      <c r="C37">
        <v>322</v>
      </c>
    </row>
    <row r="38" spans="1:3">
      <c r="A38">
        <v>684</v>
      </c>
      <c r="B38" s="1">
        <v>42011</v>
      </c>
      <c r="C38">
        <v>324</v>
      </c>
    </row>
    <row r="39" spans="1:3">
      <c r="A39">
        <v>696</v>
      </c>
      <c r="B39" s="1">
        <v>42011</v>
      </c>
      <c r="C39">
        <v>327</v>
      </c>
    </row>
    <row r="40" spans="1:3">
      <c r="A40">
        <v>708</v>
      </c>
      <c r="B40" s="1">
        <v>42011</v>
      </c>
      <c r="C40">
        <v>330</v>
      </c>
    </row>
    <row r="41" spans="1:3">
      <c r="A41">
        <v>720</v>
      </c>
      <c r="B41" s="1">
        <v>42011</v>
      </c>
      <c r="C41">
        <v>334</v>
      </c>
    </row>
    <row r="42" spans="1:3">
      <c r="A42">
        <v>732</v>
      </c>
      <c r="B42" s="1">
        <v>42011</v>
      </c>
      <c r="C42">
        <v>339</v>
      </c>
    </row>
    <row r="43" spans="1:3">
      <c r="A43">
        <v>744</v>
      </c>
      <c r="B43" s="1">
        <v>42011</v>
      </c>
      <c r="C43">
        <v>345</v>
      </c>
    </row>
    <row r="44" spans="1:3">
      <c r="A44">
        <v>756</v>
      </c>
      <c r="B44" s="1">
        <v>42011</v>
      </c>
      <c r="C44">
        <v>352</v>
      </c>
    </row>
    <row r="45" spans="1:3">
      <c r="A45">
        <v>768</v>
      </c>
      <c r="B45" s="1">
        <v>42011</v>
      </c>
      <c r="C45">
        <v>360</v>
      </c>
    </row>
    <row r="46" spans="1:3">
      <c r="A46">
        <v>780</v>
      </c>
      <c r="B46" s="1">
        <v>42011</v>
      </c>
      <c r="C46">
        <v>369</v>
      </c>
    </row>
    <row r="47" spans="1:3">
      <c r="A47">
        <v>792</v>
      </c>
      <c r="B47" s="1">
        <v>42011</v>
      </c>
      <c r="C47">
        <v>379</v>
      </c>
    </row>
    <row r="48" spans="1:3">
      <c r="A48">
        <v>804</v>
      </c>
      <c r="B48" s="1">
        <v>42011</v>
      </c>
      <c r="C48">
        <v>391</v>
      </c>
    </row>
    <row r="49" spans="1:3">
      <c r="A49">
        <v>816</v>
      </c>
      <c r="B49" s="1">
        <v>42011</v>
      </c>
      <c r="C49">
        <v>376</v>
      </c>
    </row>
    <row r="50" spans="1:3">
      <c r="A50">
        <v>828</v>
      </c>
      <c r="B50" s="1">
        <v>42011</v>
      </c>
      <c r="C50">
        <v>362</v>
      </c>
    </row>
    <row r="51" spans="1:3">
      <c r="A51">
        <v>840</v>
      </c>
      <c r="B51" s="1">
        <v>42011</v>
      </c>
      <c r="C51">
        <v>348</v>
      </c>
    </row>
    <row r="52" spans="1:3">
      <c r="A52">
        <v>852</v>
      </c>
      <c r="B52" s="1">
        <v>42011</v>
      </c>
      <c r="C52">
        <v>335</v>
      </c>
    </row>
    <row r="53" spans="1:3">
      <c r="A53">
        <v>864</v>
      </c>
      <c r="B53" s="1">
        <v>42011</v>
      </c>
      <c r="C53">
        <v>323</v>
      </c>
    </row>
    <row r="54" spans="1:3">
      <c r="A54">
        <v>876</v>
      </c>
      <c r="B54" s="1">
        <v>42011</v>
      </c>
      <c r="C54">
        <v>312</v>
      </c>
    </row>
    <row r="55" spans="1:3">
      <c r="A55">
        <v>888</v>
      </c>
      <c r="B55" s="1">
        <v>42011</v>
      </c>
      <c r="C55">
        <v>302</v>
      </c>
    </row>
    <row r="56" spans="1:3">
      <c r="A56">
        <v>900</v>
      </c>
      <c r="B56" s="1">
        <v>42011</v>
      </c>
      <c r="C56">
        <v>293</v>
      </c>
    </row>
    <row r="57" spans="1:3">
      <c r="A57">
        <v>912</v>
      </c>
      <c r="B57" s="1">
        <v>42011</v>
      </c>
      <c r="C57">
        <v>285</v>
      </c>
    </row>
    <row r="58" spans="1:3">
      <c r="A58">
        <v>924</v>
      </c>
      <c r="B58" s="1">
        <v>42011</v>
      </c>
      <c r="C58">
        <v>277</v>
      </c>
    </row>
    <row r="59" spans="1:3">
      <c r="A59">
        <v>936</v>
      </c>
      <c r="B59" s="1">
        <v>42011</v>
      </c>
      <c r="C59">
        <v>271</v>
      </c>
    </row>
    <row r="60" spans="1:3">
      <c r="A60">
        <v>948</v>
      </c>
      <c r="B60" s="1">
        <v>42011</v>
      </c>
      <c r="C60">
        <v>266</v>
      </c>
    </row>
    <row r="61" spans="1:3">
      <c r="A61">
        <v>960</v>
      </c>
      <c r="B61" s="1">
        <v>42011</v>
      </c>
      <c r="C61">
        <v>262</v>
      </c>
    </row>
    <row r="62" spans="1:3">
      <c r="A62">
        <v>972</v>
      </c>
      <c r="B62" s="1">
        <v>42011</v>
      </c>
      <c r="C62">
        <v>259</v>
      </c>
    </row>
    <row r="63" spans="1:3">
      <c r="A63">
        <v>984</v>
      </c>
      <c r="B63" s="1">
        <v>42011</v>
      </c>
      <c r="C63">
        <v>258</v>
      </c>
    </row>
    <row r="64" spans="1:3">
      <c r="A64">
        <v>996</v>
      </c>
      <c r="B64" s="1">
        <v>42011</v>
      </c>
      <c r="C64">
        <v>258</v>
      </c>
    </row>
    <row r="65" spans="1:3">
      <c r="A65">
        <v>1008</v>
      </c>
      <c r="B65" s="1">
        <v>42011</v>
      </c>
      <c r="C65">
        <v>260</v>
      </c>
    </row>
    <row r="66" spans="1:3">
      <c r="A66">
        <v>1020</v>
      </c>
      <c r="B66" s="1">
        <v>42011</v>
      </c>
      <c r="C66">
        <v>264</v>
      </c>
    </row>
    <row r="67" spans="1:3">
      <c r="A67">
        <v>1032</v>
      </c>
      <c r="B67" s="1">
        <v>42011</v>
      </c>
      <c r="C67">
        <v>270</v>
      </c>
    </row>
    <row r="68" spans="1:3">
      <c r="A68">
        <v>1044</v>
      </c>
      <c r="B68" s="1">
        <v>42011</v>
      </c>
      <c r="C68">
        <v>279</v>
      </c>
    </row>
    <row r="69" spans="1:3">
      <c r="A69">
        <v>1056</v>
      </c>
      <c r="B69" s="1">
        <v>42011</v>
      </c>
      <c r="C69">
        <v>291</v>
      </c>
    </row>
    <row r="70" spans="1:3">
      <c r="A70">
        <v>1068</v>
      </c>
      <c r="B70" s="1">
        <v>42011</v>
      </c>
      <c r="C70">
        <v>308</v>
      </c>
    </row>
    <row r="71" spans="1:3">
      <c r="A71">
        <v>1080</v>
      </c>
      <c r="B71" s="1">
        <v>42011</v>
      </c>
      <c r="C71">
        <v>331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:C36"/>
  <sheetViews>
    <sheetView workbookViewId="0"/>
  </sheetViews>
  <sheetFormatPr defaultRowHeight="15.75"/>
  <cols>
    <col min="1" max="1" width="4.875" bestFit="1" customWidth="1"/>
    <col min="2" max="2" width="10.125" bestFit="1" customWidth="1"/>
    <col min="3" max="3" width="3.875" bestFit="1" customWidth="1"/>
  </cols>
  <sheetData>
    <row r="1" spans="1:3">
      <c r="A1">
        <v>660</v>
      </c>
      <c r="B1" s="1">
        <v>42011</v>
      </c>
      <c r="C1">
        <v>676</v>
      </c>
    </row>
    <row r="2" spans="1:3">
      <c r="A2">
        <v>672</v>
      </c>
      <c r="B2" s="1">
        <v>42011</v>
      </c>
      <c r="C2">
        <v>646</v>
      </c>
    </row>
    <row r="3" spans="1:3">
      <c r="A3">
        <v>684</v>
      </c>
      <c r="B3" s="1">
        <v>42011</v>
      </c>
      <c r="C3">
        <v>617</v>
      </c>
    </row>
    <row r="4" spans="1:3">
      <c r="A4">
        <v>696</v>
      </c>
      <c r="B4" s="1">
        <v>42011</v>
      </c>
      <c r="C4">
        <v>590</v>
      </c>
    </row>
    <row r="5" spans="1:3">
      <c r="A5">
        <v>708</v>
      </c>
      <c r="B5" s="1">
        <v>42011</v>
      </c>
      <c r="C5">
        <v>564</v>
      </c>
    </row>
    <row r="6" spans="1:3">
      <c r="A6">
        <v>720</v>
      </c>
      <c r="B6" s="1">
        <v>42011</v>
      </c>
      <c r="C6">
        <v>538</v>
      </c>
    </row>
    <row r="7" spans="1:3">
      <c r="A7">
        <v>732</v>
      </c>
      <c r="B7" s="1">
        <v>42011</v>
      </c>
      <c r="C7">
        <v>515</v>
      </c>
    </row>
    <row r="8" spans="1:3">
      <c r="A8">
        <v>744</v>
      </c>
      <c r="B8" s="1">
        <v>42011</v>
      </c>
      <c r="C8">
        <v>492</v>
      </c>
    </row>
    <row r="9" spans="1:3">
      <c r="A9">
        <v>756</v>
      </c>
      <c r="B9" s="1">
        <v>42011</v>
      </c>
      <c r="C9">
        <v>470</v>
      </c>
    </row>
    <row r="10" spans="1:3">
      <c r="A10">
        <v>768</v>
      </c>
      <c r="B10" s="1">
        <v>42011</v>
      </c>
      <c r="C10">
        <v>449</v>
      </c>
    </row>
    <row r="11" spans="1:3">
      <c r="A11">
        <v>780</v>
      </c>
      <c r="B11" s="1">
        <v>42011</v>
      </c>
      <c r="C11">
        <v>429</v>
      </c>
    </row>
    <row r="12" spans="1:3">
      <c r="A12">
        <v>792</v>
      </c>
      <c r="B12" s="1">
        <v>42011</v>
      </c>
      <c r="C12">
        <v>409</v>
      </c>
    </row>
    <row r="13" spans="1:3">
      <c r="A13">
        <v>804</v>
      </c>
      <c r="B13" s="1">
        <v>42011</v>
      </c>
      <c r="C13">
        <v>391</v>
      </c>
    </row>
    <row r="14" spans="1:3">
      <c r="A14">
        <v>816</v>
      </c>
      <c r="B14" s="1">
        <v>42011</v>
      </c>
      <c r="C14">
        <v>374</v>
      </c>
    </row>
    <row r="15" spans="1:3">
      <c r="A15">
        <v>828</v>
      </c>
      <c r="B15" s="1">
        <v>42011</v>
      </c>
      <c r="C15">
        <v>357</v>
      </c>
    </row>
    <row r="16" spans="1:3">
      <c r="A16">
        <v>840</v>
      </c>
      <c r="B16" s="1">
        <v>42011</v>
      </c>
      <c r="C16">
        <v>341</v>
      </c>
    </row>
    <row r="17" spans="1:3">
      <c r="A17">
        <v>852</v>
      </c>
      <c r="B17" s="1">
        <v>42011</v>
      </c>
      <c r="C17">
        <v>326</v>
      </c>
    </row>
    <row r="18" spans="1:3">
      <c r="A18">
        <v>864</v>
      </c>
      <c r="B18" s="1">
        <v>42011</v>
      </c>
      <c r="C18">
        <v>312</v>
      </c>
    </row>
    <row r="19" spans="1:3">
      <c r="A19">
        <v>876</v>
      </c>
      <c r="B19" s="1">
        <v>42011</v>
      </c>
      <c r="C19">
        <v>299</v>
      </c>
    </row>
    <row r="20" spans="1:3">
      <c r="A20">
        <v>888</v>
      </c>
      <c r="B20" s="1">
        <v>42011</v>
      </c>
      <c r="C20">
        <v>286</v>
      </c>
    </row>
    <row r="21" spans="1:3">
      <c r="A21">
        <v>900</v>
      </c>
      <c r="B21" s="1">
        <v>42011</v>
      </c>
      <c r="C21">
        <v>274</v>
      </c>
    </row>
    <row r="22" spans="1:3">
      <c r="A22">
        <v>912</v>
      </c>
      <c r="B22" s="1">
        <v>42011</v>
      </c>
      <c r="C22">
        <v>262</v>
      </c>
    </row>
    <row r="23" spans="1:3">
      <c r="A23">
        <v>924</v>
      </c>
      <c r="B23" s="1">
        <v>42011</v>
      </c>
      <c r="C23">
        <v>252</v>
      </c>
    </row>
    <row r="24" spans="1:3">
      <c r="A24">
        <v>936</v>
      </c>
      <c r="B24" s="1">
        <v>42011</v>
      </c>
      <c r="C24">
        <v>242</v>
      </c>
    </row>
    <row r="25" spans="1:3">
      <c r="A25">
        <v>948</v>
      </c>
      <c r="B25" s="1">
        <v>42011</v>
      </c>
      <c r="C25">
        <v>233</v>
      </c>
    </row>
    <row r="26" spans="1:3">
      <c r="A26">
        <v>960</v>
      </c>
      <c r="B26" s="1">
        <v>42011</v>
      </c>
      <c r="C26">
        <v>225</v>
      </c>
    </row>
    <row r="27" spans="1:3">
      <c r="A27">
        <v>972</v>
      </c>
      <c r="B27" s="1">
        <v>42011</v>
      </c>
      <c r="C27">
        <v>217</v>
      </c>
    </row>
    <row r="28" spans="1:3">
      <c r="A28">
        <v>984</v>
      </c>
      <c r="B28" s="1">
        <v>42011</v>
      </c>
      <c r="C28">
        <v>210</v>
      </c>
    </row>
    <row r="29" spans="1:3">
      <c r="A29">
        <v>996</v>
      </c>
      <c r="B29" s="1">
        <v>42011</v>
      </c>
      <c r="C29">
        <v>203</v>
      </c>
    </row>
    <row r="30" spans="1:3">
      <c r="A30">
        <v>1008</v>
      </c>
      <c r="B30" s="1">
        <v>42011</v>
      </c>
      <c r="C30">
        <v>197</v>
      </c>
    </row>
    <row r="31" spans="1:3">
      <c r="A31">
        <v>1020</v>
      </c>
      <c r="B31" s="1">
        <v>42011</v>
      </c>
      <c r="C31">
        <v>191</v>
      </c>
    </row>
    <row r="32" spans="1:3">
      <c r="A32">
        <v>1032</v>
      </c>
      <c r="B32" s="1">
        <v>42011</v>
      </c>
      <c r="C32">
        <v>186</v>
      </c>
    </row>
    <row r="33" spans="1:3">
      <c r="A33">
        <v>1044</v>
      </c>
      <c r="B33" s="1">
        <v>42011</v>
      </c>
      <c r="C33">
        <v>181</v>
      </c>
    </row>
    <row r="34" spans="1:3">
      <c r="A34">
        <v>1056</v>
      </c>
      <c r="B34" s="1">
        <v>42011</v>
      </c>
      <c r="C34">
        <v>176</v>
      </c>
    </row>
    <row r="35" spans="1:3">
      <c r="A35">
        <v>1068</v>
      </c>
      <c r="B35" s="1">
        <v>42011</v>
      </c>
      <c r="C35">
        <v>173</v>
      </c>
    </row>
    <row r="36" spans="1:3">
      <c r="A36">
        <v>1080</v>
      </c>
      <c r="B36" s="1">
        <v>42011</v>
      </c>
      <c r="C36">
        <v>170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:C36"/>
  <sheetViews>
    <sheetView workbookViewId="0"/>
  </sheetViews>
  <sheetFormatPr defaultRowHeight="15.75"/>
  <cols>
    <col min="1" max="1" width="4.875" bestFit="1" customWidth="1"/>
    <col min="2" max="2" width="10.125" bestFit="1" customWidth="1"/>
    <col min="3" max="3" width="3.875" bestFit="1" customWidth="1"/>
  </cols>
  <sheetData>
    <row r="1" spans="1:3">
      <c r="A1">
        <v>660</v>
      </c>
      <c r="B1" s="1">
        <v>42011</v>
      </c>
      <c r="C1">
        <v>676</v>
      </c>
    </row>
    <row r="2" spans="1:3">
      <c r="A2">
        <v>672</v>
      </c>
      <c r="B2" s="1">
        <v>42011</v>
      </c>
      <c r="C2">
        <v>646</v>
      </c>
    </row>
    <row r="3" spans="1:3">
      <c r="A3">
        <v>684</v>
      </c>
      <c r="B3" s="1">
        <v>42011</v>
      </c>
      <c r="C3">
        <v>617</v>
      </c>
    </row>
    <row r="4" spans="1:3">
      <c r="A4">
        <v>696</v>
      </c>
      <c r="B4" s="1">
        <v>42011</v>
      </c>
      <c r="C4">
        <v>590</v>
      </c>
    </row>
    <row r="5" spans="1:3">
      <c r="A5">
        <v>708</v>
      </c>
      <c r="B5" s="1">
        <v>42011</v>
      </c>
      <c r="C5">
        <v>564</v>
      </c>
    </row>
    <row r="6" spans="1:3">
      <c r="A6">
        <v>720</v>
      </c>
      <c r="B6" s="1">
        <v>42011</v>
      </c>
      <c r="C6">
        <v>538</v>
      </c>
    </row>
    <row r="7" spans="1:3">
      <c r="A7">
        <v>732</v>
      </c>
      <c r="B7" s="1">
        <v>42011</v>
      </c>
      <c r="C7">
        <v>515</v>
      </c>
    </row>
    <row r="8" spans="1:3">
      <c r="A8">
        <v>744</v>
      </c>
      <c r="B8" s="1">
        <v>42011</v>
      </c>
      <c r="C8">
        <v>492</v>
      </c>
    </row>
    <row r="9" spans="1:3">
      <c r="A9">
        <v>756</v>
      </c>
      <c r="B9" s="1">
        <v>42011</v>
      </c>
      <c r="C9">
        <v>470</v>
      </c>
    </row>
    <row r="10" spans="1:3">
      <c r="A10">
        <v>768</v>
      </c>
      <c r="B10" s="1">
        <v>42011</v>
      </c>
      <c r="C10">
        <v>449</v>
      </c>
    </row>
    <row r="11" spans="1:3">
      <c r="A11">
        <v>780</v>
      </c>
      <c r="B11" s="1">
        <v>42011</v>
      </c>
      <c r="C11">
        <v>429</v>
      </c>
    </row>
    <row r="12" spans="1:3">
      <c r="A12">
        <v>792</v>
      </c>
      <c r="B12" s="1">
        <v>42011</v>
      </c>
      <c r="C12">
        <v>409</v>
      </c>
    </row>
    <row r="13" spans="1:3">
      <c r="A13">
        <v>804</v>
      </c>
      <c r="B13" s="1">
        <v>42011</v>
      </c>
      <c r="C13">
        <v>391</v>
      </c>
    </row>
    <row r="14" spans="1:3">
      <c r="A14">
        <v>816</v>
      </c>
      <c r="B14" s="1">
        <v>42011</v>
      </c>
      <c r="C14">
        <v>374</v>
      </c>
    </row>
    <row r="15" spans="1:3">
      <c r="A15">
        <v>828</v>
      </c>
      <c r="B15" s="1">
        <v>42011</v>
      </c>
      <c r="C15">
        <v>357</v>
      </c>
    </row>
    <row r="16" spans="1:3">
      <c r="A16">
        <v>840</v>
      </c>
      <c r="B16" s="1">
        <v>42011</v>
      </c>
      <c r="C16">
        <v>341</v>
      </c>
    </row>
    <row r="17" spans="1:3">
      <c r="A17">
        <v>852</v>
      </c>
      <c r="B17" s="1">
        <v>42011</v>
      </c>
      <c r="C17">
        <v>326</v>
      </c>
    </row>
    <row r="18" spans="1:3">
      <c r="A18">
        <v>864</v>
      </c>
      <c r="B18" s="1">
        <v>42011</v>
      </c>
      <c r="C18">
        <v>312</v>
      </c>
    </row>
    <row r="19" spans="1:3">
      <c r="A19">
        <v>876</v>
      </c>
      <c r="B19" s="1">
        <v>42011</v>
      </c>
      <c r="C19">
        <v>299</v>
      </c>
    </row>
    <row r="20" spans="1:3">
      <c r="A20">
        <v>888</v>
      </c>
      <c r="B20" s="1">
        <v>42011</v>
      </c>
      <c r="C20">
        <v>286</v>
      </c>
    </row>
    <row r="21" spans="1:3">
      <c r="A21">
        <v>900</v>
      </c>
      <c r="B21" s="1">
        <v>42011</v>
      </c>
      <c r="C21">
        <v>274</v>
      </c>
    </row>
    <row r="22" spans="1:3">
      <c r="A22">
        <v>912</v>
      </c>
      <c r="B22" s="1">
        <v>42011</v>
      </c>
      <c r="C22">
        <v>262</v>
      </c>
    </row>
    <row r="23" spans="1:3">
      <c r="A23">
        <v>924</v>
      </c>
      <c r="B23" s="1">
        <v>42011</v>
      </c>
      <c r="C23">
        <v>252</v>
      </c>
    </row>
    <row r="24" spans="1:3">
      <c r="A24">
        <v>936</v>
      </c>
      <c r="B24" s="1">
        <v>42011</v>
      </c>
      <c r="C24">
        <v>242</v>
      </c>
    </row>
    <row r="25" spans="1:3">
      <c r="A25">
        <v>948</v>
      </c>
      <c r="B25" s="1">
        <v>42011</v>
      </c>
      <c r="C25">
        <v>233</v>
      </c>
    </row>
    <row r="26" spans="1:3">
      <c r="A26">
        <v>960</v>
      </c>
      <c r="B26" s="1">
        <v>42011</v>
      </c>
      <c r="C26">
        <v>225</v>
      </c>
    </row>
    <row r="27" spans="1:3">
      <c r="A27">
        <v>972</v>
      </c>
      <c r="B27" s="1">
        <v>42011</v>
      </c>
      <c r="C27">
        <v>217</v>
      </c>
    </row>
    <row r="28" spans="1:3">
      <c r="A28">
        <v>984</v>
      </c>
      <c r="B28" s="1">
        <v>42011</v>
      </c>
      <c r="C28">
        <v>210</v>
      </c>
    </row>
    <row r="29" spans="1:3">
      <c r="A29">
        <v>996</v>
      </c>
      <c r="B29" s="1">
        <v>42011</v>
      </c>
      <c r="C29">
        <v>203</v>
      </c>
    </row>
    <row r="30" spans="1:3">
      <c r="A30">
        <v>1008</v>
      </c>
      <c r="B30" s="1">
        <v>42011</v>
      </c>
      <c r="C30">
        <v>197</v>
      </c>
    </row>
    <row r="31" spans="1:3">
      <c r="A31">
        <v>1020</v>
      </c>
      <c r="B31" s="1">
        <v>42011</v>
      </c>
      <c r="C31">
        <v>191</v>
      </c>
    </row>
    <row r="32" spans="1:3">
      <c r="A32">
        <v>1032</v>
      </c>
      <c r="B32" s="1">
        <v>42011</v>
      </c>
      <c r="C32">
        <v>186</v>
      </c>
    </row>
    <row r="33" spans="1:3">
      <c r="A33">
        <v>1044</v>
      </c>
      <c r="B33" s="1">
        <v>42011</v>
      </c>
      <c r="C33">
        <v>181</v>
      </c>
    </row>
    <row r="34" spans="1:3">
      <c r="A34">
        <v>1056</v>
      </c>
      <c r="B34" s="1">
        <v>42011</v>
      </c>
      <c r="C34">
        <v>176</v>
      </c>
    </row>
    <row r="35" spans="1:3">
      <c r="A35">
        <v>1068</v>
      </c>
      <c r="B35" s="1">
        <v>42011</v>
      </c>
      <c r="C35">
        <v>173</v>
      </c>
    </row>
    <row r="36" spans="1:3">
      <c r="A36">
        <v>1080</v>
      </c>
      <c r="B36" s="1">
        <v>42011</v>
      </c>
      <c r="C36">
        <v>170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:C36"/>
  <sheetViews>
    <sheetView workbookViewId="0"/>
  </sheetViews>
  <sheetFormatPr defaultRowHeight="15.75"/>
  <cols>
    <col min="1" max="1" width="4.875" bestFit="1" customWidth="1"/>
    <col min="2" max="2" width="10.125" bestFit="1" customWidth="1"/>
    <col min="3" max="3" width="4.875" bestFit="1" customWidth="1"/>
  </cols>
  <sheetData>
    <row r="1" spans="1:3">
      <c r="A1">
        <v>660</v>
      </c>
      <c r="B1" s="1">
        <v>42011</v>
      </c>
      <c r="C1">
        <v>9.1999999999999993</v>
      </c>
    </row>
    <row r="2" spans="1:3">
      <c r="A2">
        <v>672</v>
      </c>
      <c r="B2" s="1">
        <v>42011</v>
      </c>
      <c r="C2">
        <v>9.6</v>
      </c>
    </row>
    <row r="3" spans="1:3">
      <c r="A3">
        <v>684</v>
      </c>
      <c r="B3" s="1">
        <v>42011</v>
      </c>
      <c r="C3">
        <v>10</v>
      </c>
    </row>
    <row r="4" spans="1:3">
      <c r="A4">
        <v>696</v>
      </c>
      <c r="B4" s="1">
        <v>42011</v>
      </c>
      <c r="C4">
        <v>10.3</v>
      </c>
    </row>
    <row r="5" spans="1:3">
      <c r="A5">
        <v>708</v>
      </c>
      <c r="B5" s="1">
        <v>42011</v>
      </c>
      <c r="C5">
        <v>10.7</v>
      </c>
    </row>
    <row r="6" spans="1:3">
      <c r="A6">
        <v>720</v>
      </c>
      <c r="B6" s="1">
        <v>42011</v>
      </c>
      <c r="C6">
        <v>11.2</v>
      </c>
    </row>
    <row r="7" spans="1:3">
      <c r="A7">
        <v>732</v>
      </c>
      <c r="B7" s="1">
        <v>42011</v>
      </c>
      <c r="C7">
        <v>11.6</v>
      </c>
    </row>
    <row r="8" spans="1:3">
      <c r="A8">
        <v>744</v>
      </c>
      <c r="B8" s="1">
        <v>42011</v>
      </c>
      <c r="C8">
        <v>12</v>
      </c>
    </row>
    <row r="9" spans="1:3">
      <c r="A9">
        <v>756</v>
      </c>
      <c r="B9" s="1">
        <v>42011</v>
      </c>
      <c r="C9">
        <v>12.5</v>
      </c>
    </row>
    <row r="10" spans="1:3">
      <c r="A10">
        <v>768</v>
      </c>
      <c r="B10" s="1">
        <v>42011</v>
      </c>
      <c r="C10">
        <v>13</v>
      </c>
    </row>
    <row r="11" spans="1:3">
      <c r="A11">
        <v>780</v>
      </c>
      <c r="B11" s="1">
        <v>42011</v>
      </c>
      <c r="C11">
        <v>13.5</v>
      </c>
    </row>
    <row r="12" spans="1:3">
      <c r="A12">
        <v>792</v>
      </c>
      <c r="B12" s="1">
        <v>42011</v>
      </c>
      <c r="C12">
        <v>14.1</v>
      </c>
    </row>
    <row r="13" spans="1:3">
      <c r="A13">
        <v>804</v>
      </c>
      <c r="B13" s="1">
        <v>42011</v>
      </c>
      <c r="C13">
        <v>14.7</v>
      </c>
    </row>
    <row r="14" spans="1:3">
      <c r="A14">
        <v>816</v>
      </c>
      <c r="B14" s="1">
        <v>42011</v>
      </c>
      <c r="C14">
        <v>15.3</v>
      </c>
    </row>
    <row r="15" spans="1:3">
      <c r="A15">
        <v>828</v>
      </c>
      <c r="B15" s="1">
        <v>42011</v>
      </c>
      <c r="C15">
        <v>15.9</v>
      </c>
    </row>
    <row r="16" spans="1:3">
      <c r="A16">
        <v>840</v>
      </c>
      <c r="B16" s="1">
        <v>42011</v>
      </c>
      <c r="C16">
        <v>16.5</v>
      </c>
    </row>
    <row r="17" spans="1:3">
      <c r="A17">
        <v>852</v>
      </c>
      <c r="B17" s="1">
        <v>42011</v>
      </c>
      <c r="C17">
        <v>17.2</v>
      </c>
    </row>
    <row r="18" spans="1:3">
      <c r="A18">
        <v>864</v>
      </c>
      <c r="B18" s="1">
        <v>42011</v>
      </c>
      <c r="C18">
        <v>18</v>
      </c>
    </row>
    <row r="19" spans="1:3">
      <c r="A19">
        <v>876</v>
      </c>
      <c r="B19" s="1">
        <v>42011</v>
      </c>
      <c r="C19">
        <v>18.7</v>
      </c>
    </row>
    <row r="20" spans="1:3">
      <c r="A20">
        <v>888</v>
      </c>
      <c r="B20" s="1">
        <v>42011</v>
      </c>
      <c r="C20">
        <v>19.5</v>
      </c>
    </row>
    <row r="21" spans="1:3">
      <c r="A21">
        <v>900</v>
      </c>
      <c r="B21" s="1">
        <v>42011</v>
      </c>
      <c r="C21">
        <v>20.3</v>
      </c>
    </row>
    <row r="22" spans="1:3">
      <c r="A22">
        <v>912</v>
      </c>
      <c r="B22" s="1">
        <v>42011</v>
      </c>
      <c r="C22">
        <v>21.2</v>
      </c>
    </row>
    <row r="23" spans="1:3">
      <c r="A23">
        <v>924</v>
      </c>
      <c r="B23" s="1">
        <v>42011</v>
      </c>
      <c r="C23">
        <v>22.1</v>
      </c>
    </row>
    <row r="24" spans="1:3">
      <c r="A24">
        <v>936</v>
      </c>
      <c r="B24" s="1">
        <v>42011</v>
      </c>
      <c r="C24">
        <v>23</v>
      </c>
    </row>
    <row r="25" spans="1:3">
      <c r="A25">
        <v>948</v>
      </c>
      <c r="B25" s="1">
        <v>42011</v>
      </c>
      <c r="C25">
        <v>23.9</v>
      </c>
    </row>
    <row r="26" spans="1:3">
      <c r="A26">
        <v>960</v>
      </c>
      <c r="B26" s="1">
        <v>42011</v>
      </c>
      <c r="C26">
        <v>24.9</v>
      </c>
    </row>
    <row r="27" spans="1:3">
      <c r="A27">
        <v>972</v>
      </c>
      <c r="B27" s="1">
        <v>42011</v>
      </c>
      <c r="C27">
        <v>25.8</v>
      </c>
    </row>
    <row r="28" spans="1:3">
      <c r="A28">
        <v>984</v>
      </c>
      <c r="B28" s="1">
        <v>42011</v>
      </c>
      <c r="C28">
        <v>26.7</v>
      </c>
    </row>
    <row r="29" spans="1:3">
      <c r="A29">
        <v>996</v>
      </c>
      <c r="B29" s="1">
        <v>42011</v>
      </c>
      <c r="C29">
        <v>27.7</v>
      </c>
    </row>
    <row r="30" spans="1:3">
      <c r="A30">
        <v>1008</v>
      </c>
      <c r="B30" s="1">
        <v>42011</v>
      </c>
      <c r="C30">
        <v>28.6</v>
      </c>
    </row>
    <row r="31" spans="1:3">
      <c r="A31">
        <v>1020</v>
      </c>
      <c r="B31" s="1">
        <v>42011</v>
      </c>
      <c r="C31">
        <v>29.5</v>
      </c>
    </row>
    <row r="32" spans="1:3">
      <c r="A32">
        <v>1032</v>
      </c>
      <c r="B32" s="1">
        <v>42011</v>
      </c>
      <c r="C32">
        <v>30.5</v>
      </c>
    </row>
    <row r="33" spans="1:3">
      <c r="A33">
        <v>1044</v>
      </c>
      <c r="B33" s="1">
        <v>42011</v>
      </c>
      <c r="C33">
        <v>31.4</v>
      </c>
    </row>
    <row r="34" spans="1:3">
      <c r="A34">
        <v>1056</v>
      </c>
      <c r="B34" s="1">
        <v>42011</v>
      </c>
      <c r="C34">
        <v>32.299999999999997</v>
      </c>
    </row>
    <row r="35" spans="1:3">
      <c r="A35">
        <v>1068</v>
      </c>
      <c r="B35" s="1">
        <v>42011</v>
      </c>
      <c r="C35">
        <v>33.299999999999997</v>
      </c>
    </row>
    <row r="36" spans="1:3">
      <c r="A36">
        <v>1080</v>
      </c>
      <c r="B36" s="1">
        <v>42011</v>
      </c>
      <c r="C36">
        <v>34.200000000000003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:C46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4.875" bestFit="1" customWidth="1"/>
  </cols>
  <sheetData>
    <row r="1" spans="1:3">
      <c r="A1">
        <v>240</v>
      </c>
      <c r="B1" s="1">
        <v>1</v>
      </c>
      <c r="C1">
        <v>35.6</v>
      </c>
    </row>
    <row r="2" spans="1:3">
      <c r="A2">
        <v>252</v>
      </c>
      <c r="B2" s="1">
        <v>1</v>
      </c>
      <c r="C2">
        <v>35.6</v>
      </c>
    </row>
    <row r="3" spans="1:3">
      <c r="A3">
        <v>264</v>
      </c>
      <c r="B3" s="1">
        <v>1</v>
      </c>
      <c r="C3">
        <v>35.6</v>
      </c>
    </row>
    <row r="4" spans="1:3">
      <c r="A4">
        <v>276</v>
      </c>
      <c r="B4" s="1">
        <v>1</v>
      </c>
      <c r="C4">
        <v>35.6</v>
      </c>
    </row>
    <row r="5" spans="1:3">
      <c r="A5">
        <v>288</v>
      </c>
      <c r="B5" s="1">
        <v>1</v>
      </c>
      <c r="C5">
        <v>35.6</v>
      </c>
    </row>
    <row r="6" spans="1:3">
      <c r="A6">
        <v>300</v>
      </c>
      <c r="B6" s="1">
        <v>1</v>
      </c>
      <c r="C6">
        <v>35.6</v>
      </c>
    </row>
    <row r="7" spans="1:3">
      <c r="A7">
        <v>312</v>
      </c>
      <c r="B7" s="1">
        <v>1</v>
      </c>
      <c r="C7">
        <v>35.6</v>
      </c>
    </row>
    <row r="8" spans="1:3">
      <c r="A8">
        <v>324</v>
      </c>
      <c r="B8" s="1">
        <v>1</v>
      </c>
      <c r="C8">
        <v>35.6</v>
      </c>
    </row>
    <row r="9" spans="1:3">
      <c r="A9">
        <v>336</v>
      </c>
      <c r="B9" s="1">
        <v>1</v>
      </c>
      <c r="C9">
        <v>35.6</v>
      </c>
    </row>
    <row r="10" spans="1:3">
      <c r="A10">
        <v>348</v>
      </c>
      <c r="B10" s="1">
        <v>1</v>
      </c>
      <c r="C10">
        <v>35.6</v>
      </c>
    </row>
    <row r="11" spans="1:3">
      <c r="A11">
        <v>360</v>
      </c>
      <c r="B11" s="1">
        <v>1</v>
      </c>
      <c r="C11">
        <v>35.5</v>
      </c>
    </row>
    <row r="12" spans="1:3">
      <c r="A12">
        <v>372</v>
      </c>
      <c r="B12" s="1">
        <v>1</v>
      </c>
      <c r="C12">
        <v>35.5</v>
      </c>
    </row>
    <row r="13" spans="1:3">
      <c r="A13">
        <v>384</v>
      </c>
      <c r="B13" s="1">
        <v>1</v>
      </c>
      <c r="C13">
        <v>35.4</v>
      </c>
    </row>
    <row r="14" spans="1:3">
      <c r="A14">
        <v>396</v>
      </c>
      <c r="B14" s="1">
        <v>1</v>
      </c>
      <c r="C14">
        <v>35.299999999999997</v>
      </c>
    </row>
    <row r="15" spans="1:3">
      <c r="A15">
        <v>408</v>
      </c>
      <c r="B15" s="1">
        <v>1</v>
      </c>
      <c r="C15">
        <v>35.200000000000003</v>
      </c>
    </row>
    <row r="16" spans="1:3">
      <c r="A16">
        <v>420</v>
      </c>
      <c r="B16" s="1">
        <v>1</v>
      </c>
      <c r="C16">
        <v>35.1</v>
      </c>
    </row>
    <row r="17" spans="1:3">
      <c r="A17">
        <v>432</v>
      </c>
      <c r="B17" s="1">
        <v>1</v>
      </c>
      <c r="C17">
        <v>35</v>
      </c>
    </row>
    <row r="18" spans="1:3">
      <c r="A18">
        <v>444</v>
      </c>
      <c r="B18" s="1">
        <v>1</v>
      </c>
      <c r="C18">
        <v>34.799999999999997</v>
      </c>
    </row>
    <row r="19" spans="1:3">
      <c r="A19">
        <v>456</v>
      </c>
      <c r="B19" s="1">
        <v>1</v>
      </c>
      <c r="C19">
        <v>34.6</v>
      </c>
    </row>
    <row r="20" spans="1:3">
      <c r="A20">
        <v>468</v>
      </c>
      <c r="B20" s="1">
        <v>1</v>
      </c>
      <c r="C20">
        <v>34.4</v>
      </c>
    </row>
    <row r="21" spans="1:3">
      <c r="A21">
        <v>480</v>
      </c>
      <c r="B21" s="1">
        <v>1</v>
      </c>
      <c r="C21">
        <v>34.1</v>
      </c>
    </row>
    <row r="22" spans="1:3">
      <c r="A22">
        <v>492</v>
      </c>
      <c r="B22" s="1">
        <v>1</v>
      </c>
      <c r="C22">
        <v>33.799999999999997</v>
      </c>
    </row>
    <row r="23" spans="1:3">
      <c r="A23">
        <v>504</v>
      </c>
      <c r="B23" s="1">
        <v>1</v>
      </c>
      <c r="C23">
        <v>33.5</v>
      </c>
    </row>
    <row r="24" spans="1:3">
      <c r="A24">
        <v>516</v>
      </c>
      <c r="B24" s="1">
        <v>1</v>
      </c>
      <c r="C24">
        <v>33.1</v>
      </c>
    </row>
    <row r="25" spans="1:3">
      <c r="A25">
        <v>528</v>
      </c>
      <c r="B25" s="1">
        <v>1</v>
      </c>
      <c r="C25">
        <v>32.799999999999997</v>
      </c>
    </row>
    <row r="26" spans="1:3">
      <c r="A26">
        <v>540</v>
      </c>
      <c r="B26" s="1">
        <v>1</v>
      </c>
      <c r="C26">
        <v>32.4</v>
      </c>
    </row>
    <row r="27" spans="1:3">
      <c r="A27">
        <v>552</v>
      </c>
      <c r="B27" s="1">
        <v>1</v>
      </c>
      <c r="C27">
        <v>32.200000000000003</v>
      </c>
    </row>
    <row r="28" spans="1:3">
      <c r="A28">
        <v>564</v>
      </c>
      <c r="B28" s="1">
        <v>1</v>
      </c>
      <c r="C28">
        <v>31.9</v>
      </c>
    </row>
    <row r="29" spans="1:3">
      <c r="A29">
        <v>576</v>
      </c>
      <c r="B29" s="1">
        <v>1</v>
      </c>
      <c r="C29">
        <v>31.7</v>
      </c>
    </row>
    <row r="30" spans="1:3">
      <c r="A30">
        <v>588</v>
      </c>
      <c r="B30" s="1">
        <v>1</v>
      </c>
      <c r="C30">
        <v>31.5</v>
      </c>
    </row>
    <row r="31" spans="1:3">
      <c r="A31">
        <v>600</v>
      </c>
      <c r="B31" s="1">
        <v>1</v>
      </c>
      <c r="C31">
        <v>31.3</v>
      </c>
    </row>
    <row r="32" spans="1:3">
      <c r="A32">
        <v>612</v>
      </c>
      <c r="B32" s="1">
        <v>1</v>
      </c>
      <c r="C32">
        <v>31.1</v>
      </c>
    </row>
    <row r="33" spans="1:3">
      <c r="A33">
        <v>624</v>
      </c>
      <c r="B33" s="1">
        <v>1</v>
      </c>
      <c r="C33">
        <v>31</v>
      </c>
    </row>
    <row r="34" spans="1:3">
      <c r="A34">
        <v>636</v>
      </c>
      <c r="B34" s="1">
        <v>1</v>
      </c>
      <c r="C34">
        <v>30.8</v>
      </c>
    </row>
    <row r="35" spans="1:3">
      <c r="A35">
        <v>648</v>
      </c>
      <c r="B35" s="1">
        <v>1</v>
      </c>
      <c r="C35">
        <v>30.6</v>
      </c>
    </row>
    <row r="36" spans="1:3">
      <c r="A36">
        <v>660</v>
      </c>
      <c r="B36" s="1">
        <v>1</v>
      </c>
      <c r="C36">
        <v>30.4</v>
      </c>
    </row>
    <row r="37" spans="1:3">
      <c r="A37">
        <v>672</v>
      </c>
      <c r="B37" s="1">
        <v>1</v>
      </c>
      <c r="C37">
        <v>30.2</v>
      </c>
    </row>
    <row r="38" spans="1:3">
      <c r="A38">
        <v>684</v>
      </c>
      <c r="B38" s="1">
        <v>1</v>
      </c>
      <c r="C38">
        <v>29.9</v>
      </c>
    </row>
    <row r="39" spans="1:3">
      <c r="A39">
        <v>696</v>
      </c>
      <c r="B39" s="1">
        <v>1</v>
      </c>
      <c r="C39">
        <v>29.6</v>
      </c>
    </row>
    <row r="40" spans="1:3">
      <c r="A40">
        <v>708</v>
      </c>
      <c r="B40" s="1">
        <v>1</v>
      </c>
      <c r="C40">
        <v>29.3</v>
      </c>
    </row>
    <row r="41" spans="1:3">
      <c r="A41">
        <v>720</v>
      </c>
      <c r="B41" s="1">
        <v>1</v>
      </c>
      <c r="C41">
        <v>28.9</v>
      </c>
    </row>
    <row r="42" spans="1:3">
      <c r="A42">
        <v>732</v>
      </c>
      <c r="B42" s="1">
        <v>1</v>
      </c>
      <c r="C42">
        <v>28.6</v>
      </c>
    </row>
    <row r="43" spans="1:3">
      <c r="A43">
        <v>744</v>
      </c>
      <c r="B43" s="1">
        <v>1</v>
      </c>
      <c r="C43">
        <v>28.2</v>
      </c>
    </row>
    <row r="44" spans="1:3">
      <c r="A44">
        <v>756</v>
      </c>
      <c r="B44" s="1">
        <v>1</v>
      </c>
      <c r="C44">
        <v>27.8</v>
      </c>
    </row>
    <row r="45" spans="1:3">
      <c r="A45">
        <v>768</v>
      </c>
      <c r="B45" s="1">
        <v>1</v>
      </c>
      <c r="C45">
        <v>27.4</v>
      </c>
    </row>
    <row r="46" spans="1:3">
      <c r="A46">
        <v>780</v>
      </c>
      <c r="B46" s="1">
        <v>1</v>
      </c>
      <c r="C46">
        <v>26.9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:C46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4.875" bestFit="1" customWidth="1"/>
  </cols>
  <sheetData>
    <row r="1" spans="1:3">
      <c r="A1">
        <v>240</v>
      </c>
      <c r="B1" s="1">
        <v>1</v>
      </c>
      <c r="C1">
        <v>40.5</v>
      </c>
    </row>
    <row r="2" spans="1:3">
      <c r="A2">
        <v>252</v>
      </c>
      <c r="B2" s="1">
        <v>1</v>
      </c>
      <c r="C2">
        <v>40.6</v>
      </c>
    </row>
    <row r="3" spans="1:3">
      <c r="A3">
        <v>264</v>
      </c>
      <c r="B3" s="1">
        <v>1</v>
      </c>
      <c r="C3">
        <v>40.6</v>
      </c>
    </row>
    <row r="4" spans="1:3">
      <c r="A4">
        <v>276</v>
      </c>
      <c r="B4" s="1">
        <v>1</v>
      </c>
      <c r="C4">
        <v>40.6</v>
      </c>
    </row>
    <row r="5" spans="1:3">
      <c r="A5">
        <v>288</v>
      </c>
      <c r="B5" s="1">
        <v>1</v>
      </c>
      <c r="C5">
        <v>40.6</v>
      </c>
    </row>
    <row r="6" spans="1:3">
      <c r="A6">
        <v>300</v>
      </c>
      <c r="B6" s="1">
        <v>1</v>
      </c>
      <c r="C6">
        <v>40.700000000000003</v>
      </c>
    </row>
    <row r="7" spans="1:3">
      <c r="A7">
        <v>312</v>
      </c>
      <c r="B7" s="1">
        <v>1</v>
      </c>
      <c r="C7">
        <v>40.700000000000003</v>
      </c>
    </row>
    <row r="8" spans="1:3">
      <c r="A8">
        <v>324</v>
      </c>
      <c r="B8" s="1">
        <v>1</v>
      </c>
      <c r="C8">
        <v>40.700000000000003</v>
      </c>
    </row>
    <row r="9" spans="1:3">
      <c r="A9">
        <v>336</v>
      </c>
      <c r="B9" s="1">
        <v>1</v>
      </c>
      <c r="C9">
        <v>40.6</v>
      </c>
    </row>
    <row r="10" spans="1:3">
      <c r="A10">
        <v>348</v>
      </c>
      <c r="B10" s="1">
        <v>1</v>
      </c>
      <c r="C10">
        <v>40.6</v>
      </c>
    </row>
    <row r="11" spans="1:3">
      <c r="A11">
        <v>360</v>
      </c>
      <c r="B11" s="1">
        <v>1</v>
      </c>
      <c r="C11">
        <v>40.5</v>
      </c>
    </row>
    <row r="12" spans="1:3">
      <c r="A12">
        <v>372</v>
      </c>
      <c r="B12" s="1">
        <v>1</v>
      </c>
      <c r="C12">
        <v>40.5</v>
      </c>
    </row>
    <row r="13" spans="1:3">
      <c r="A13">
        <v>384</v>
      </c>
      <c r="B13" s="1">
        <v>1</v>
      </c>
      <c r="C13">
        <v>40.4</v>
      </c>
    </row>
    <row r="14" spans="1:3">
      <c r="A14">
        <v>396</v>
      </c>
      <c r="B14" s="1">
        <v>1</v>
      </c>
      <c r="C14">
        <v>40.299999999999997</v>
      </c>
    </row>
    <row r="15" spans="1:3">
      <c r="A15">
        <v>408</v>
      </c>
      <c r="B15" s="1">
        <v>1</v>
      </c>
      <c r="C15">
        <v>40.200000000000003</v>
      </c>
    </row>
    <row r="16" spans="1:3">
      <c r="A16">
        <v>420</v>
      </c>
      <c r="B16" s="1">
        <v>1</v>
      </c>
      <c r="C16">
        <v>40</v>
      </c>
    </row>
    <row r="17" spans="1:3">
      <c r="A17">
        <v>432</v>
      </c>
      <c r="B17" s="1">
        <v>1</v>
      </c>
      <c r="C17">
        <v>39.9</v>
      </c>
    </row>
    <row r="18" spans="1:3">
      <c r="A18">
        <v>444</v>
      </c>
      <c r="B18" s="1">
        <v>1</v>
      </c>
      <c r="C18">
        <v>39.700000000000003</v>
      </c>
    </row>
    <row r="19" spans="1:3">
      <c r="A19">
        <v>456</v>
      </c>
      <c r="B19" s="1">
        <v>1</v>
      </c>
      <c r="C19">
        <v>39.4</v>
      </c>
    </row>
    <row r="20" spans="1:3">
      <c r="A20">
        <v>468</v>
      </c>
      <c r="B20" s="1">
        <v>1</v>
      </c>
      <c r="C20">
        <v>39.200000000000003</v>
      </c>
    </row>
    <row r="21" spans="1:3">
      <c r="A21">
        <v>480</v>
      </c>
      <c r="B21" s="1">
        <v>1</v>
      </c>
      <c r="C21">
        <v>38.799999999999997</v>
      </c>
    </row>
    <row r="22" spans="1:3">
      <c r="A22">
        <v>492</v>
      </c>
      <c r="B22" s="1">
        <v>1</v>
      </c>
      <c r="C22">
        <v>38.5</v>
      </c>
    </row>
    <row r="23" spans="1:3">
      <c r="A23">
        <v>504</v>
      </c>
      <c r="B23" s="1">
        <v>1</v>
      </c>
      <c r="C23">
        <v>38.1</v>
      </c>
    </row>
    <row r="24" spans="1:3">
      <c r="A24">
        <v>516</v>
      </c>
      <c r="B24" s="1">
        <v>1</v>
      </c>
      <c r="C24">
        <v>37.700000000000003</v>
      </c>
    </row>
    <row r="25" spans="1:3">
      <c r="A25">
        <v>528</v>
      </c>
      <c r="B25" s="1">
        <v>1</v>
      </c>
      <c r="C25">
        <v>37.200000000000003</v>
      </c>
    </row>
    <row r="26" spans="1:3">
      <c r="A26">
        <v>540</v>
      </c>
      <c r="B26" s="1">
        <v>1</v>
      </c>
      <c r="C26">
        <v>36.799999999999997</v>
      </c>
    </row>
    <row r="27" spans="1:3">
      <c r="A27">
        <v>552</v>
      </c>
      <c r="B27" s="1">
        <v>1</v>
      </c>
      <c r="C27">
        <v>36.5</v>
      </c>
    </row>
    <row r="28" spans="1:3">
      <c r="A28">
        <v>564</v>
      </c>
      <c r="B28" s="1">
        <v>1</v>
      </c>
      <c r="C28">
        <v>36.1</v>
      </c>
    </row>
    <row r="29" spans="1:3">
      <c r="A29">
        <v>576</v>
      </c>
      <c r="B29" s="1">
        <v>1</v>
      </c>
      <c r="C29">
        <v>35.799999999999997</v>
      </c>
    </row>
    <row r="30" spans="1:3">
      <c r="A30">
        <v>588</v>
      </c>
      <c r="B30" s="1">
        <v>1</v>
      </c>
      <c r="C30">
        <v>35.6</v>
      </c>
    </row>
    <row r="31" spans="1:3">
      <c r="A31">
        <v>600</v>
      </c>
      <c r="B31" s="1">
        <v>1</v>
      </c>
      <c r="C31">
        <v>35.299999999999997</v>
      </c>
    </row>
    <row r="32" spans="1:3">
      <c r="A32">
        <v>612</v>
      </c>
      <c r="B32" s="1">
        <v>1</v>
      </c>
      <c r="C32">
        <v>35.1</v>
      </c>
    </row>
    <row r="33" spans="1:3">
      <c r="A33">
        <v>624</v>
      </c>
      <c r="B33" s="1">
        <v>1</v>
      </c>
      <c r="C33">
        <v>34.9</v>
      </c>
    </row>
    <row r="34" spans="1:3">
      <c r="A34">
        <v>636</v>
      </c>
      <c r="B34" s="1">
        <v>1</v>
      </c>
      <c r="C34">
        <v>34.700000000000003</v>
      </c>
    </row>
    <row r="35" spans="1:3">
      <c r="A35">
        <v>648</v>
      </c>
      <c r="B35" s="1">
        <v>1</v>
      </c>
      <c r="C35">
        <v>34.5</v>
      </c>
    </row>
    <row r="36" spans="1:3">
      <c r="A36">
        <v>660</v>
      </c>
      <c r="B36" s="1">
        <v>1</v>
      </c>
      <c r="C36">
        <v>34.299999999999997</v>
      </c>
    </row>
    <row r="37" spans="1:3">
      <c r="A37">
        <v>672</v>
      </c>
      <c r="B37" s="1">
        <v>1</v>
      </c>
      <c r="C37">
        <v>34</v>
      </c>
    </row>
    <row r="38" spans="1:3">
      <c r="A38">
        <v>684</v>
      </c>
      <c r="B38" s="1">
        <v>1</v>
      </c>
      <c r="C38">
        <v>33.700000000000003</v>
      </c>
    </row>
    <row r="39" spans="1:3">
      <c r="A39">
        <v>696</v>
      </c>
      <c r="B39" s="1">
        <v>1</v>
      </c>
      <c r="C39">
        <v>33.299999999999997</v>
      </c>
    </row>
    <row r="40" spans="1:3">
      <c r="A40">
        <v>708</v>
      </c>
      <c r="B40" s="1">
        <v>1</v>
      </c>
      <c r="C40">
        <v>33</v>
      </c>
    </row>
    <row r="41" spans="1:3">
      <c r="A41">
        <v>720</v>
      </c>
      <c r="B41" s="1">
        <v>1</v>
      </c>
      <c r="C41">
        <v>32.6</v>
      </c>
    </row>
    <row r="42" spans="1:3">
      <c r="A42">
        <v>732</v>
      </c>
      <c r="B42" s="1">
        <v>1</v>
      </c>
      <c r="C42">
        <v>32.1</v>
      </c>
    </row>
    <row r="43" spans="1:3">
      <c r="A43">
        <v>744</v>
      </c>
      <c r="B43" s="1">
        <v>1</v>
      </c>
      <c r="C43">
        <v>31.7</v>
      </c>
    </row>
    <row r="44" spans="1:3">
      <c r="A44">
        <v>756</v>
      </c>
      <c r="B44" s="1">
        <v>1</v>
      </c>
      <c r="C44">
        <v>31.2</v>
      </c>
    </row>
    <row r="45" spans="1:3">
      <c r="A45">
        <v>768</v>
      </c>
      <c r="B45" s="1">
        <v>1</v>
      </c>
      <c r="C45">
        <v>30.7</v>
      </c>
    </row>
    <row r="46" spans="1:3">
      <c r="A46">
        <v>780</v>
      </c>
      <c r="B46" s="1">
        <v>1</v>
      </c>
      <c r="C46">
        <v>30.1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:C56"/>
  <sheetViews>
    <sheetView workbookViewId="0">
      <selection activeCell="C51" sqref="A51:C51"/>
    </sheetView>
  </sheetViews>
  <sheetFormatPr defaultRowHeight="15.75"/>
  <cols>
    <col min="1" max="1" width="2.875" bestFit="1" customWidth="1"/>
    <col min="2" max="2" width="10.125" bestFit="1" customWidth="1"/>
    <col min="3" max="3" width="5.875" bestFit="1" customWidth="1"/>
  </cols>
  <sheetData>
    <row r="1" spans="1:3">
      <c r="A1">
        <v>15</v>
      </c>
      <c r="B1" s="1">
        <v>42736</v>
      </c>
      <c r="C1">
        <v>111.5</v>
      </c>
    </row>
    <row r="2" spans="1:3">
      <c r="A2">
        <v>16</v>
      </c>
      <c r="B2" s="1">
        <v>42736</v>
      </c>
      <c r="C2">
        <v>111.6</v>
      </c>
    </row>
    <row r="3" spans="1:3">
      <c r="A3">
        <v>17</v>
      </c>
      <c r="B3" s="1">
        <v>42736</v>
      </c>
      <c r="C3">
        <v>111.6</v>
      </c>
    </row>
    <row r="4" spans="1:3">
      <c r="A4">
        <v>18</v>
      </c>
      <c r="B4" s="1">
        <v>42736</v>
      </c>
      <c r="C4">
        <v>111.6</v>
      </c>
    </row>
    <row r="5" spans="1:3">
      <c r="A5">
        <v>19</v>
      </c>
      <c r="B5" s="1">
        <v>42736</v>
      </c>
      <c r="C5">
        <v>111.6</v>
      </c>
    </row>
    <row r="6" spans="1:3">
      <c r="A6">
        <v>20</v>
      </c>
      <c r="B6" s="1">
        <v>42736</v>
      </c>
      <c r="C6">
        <v>111.6</v>
      </c>
    </row>
    <row r="7" spans="1:3">
      <c r="A7">
        <v>21</v>
      </c>
      <c r="B7" s="1">
        <v>42736</v>
      </c>
      <c r="C7">
        <v>111.6</v>
      </c>
    </row>
    <row r="8" spans="1:3">
      <c r="A8">
        <v>22</v>
      </c>
      <c r="B8" s="1">
        <v>42736</v>
      </c>
      <c r="C8">
        <v>111.7</v>
      </c>
    </row>
    <row r="9" spans="1:3">
      <c r="A9">
        <v>23</v>
      </c>
      <c r="B9" s="1">
        <v>42736</v>
      </c>
      <c r="C9">
        <v>111.7</v>
      </c>
    </row>
    <row r="10" spans="1:3">
      <c r="A10">
        <v>24</v>
      </c>
      <c r="B10" s="1">
        <v>42736</v>
      </c>
      <c r="C10">
        <v>111.7</v>
      </c>
    </row>
    <row r="11" spans="1:3">
      <c r="A11">
        <v>25</v>
      </c>
      <c r="B11" s="1">
        <v>42736</v>
      </c>
      <c r="C11">
        <v>111.7</v>
      </c>
    </row>
    <row r="12" spans="1:3">
      <c r="A12">
        <v>26</v>
      </c>
      <c r="B12" s="1">
        <v>42736</v>
      </c>
      <c r="C12">
        <v>111.7</v>
      </c>
    </row>
    <row r="13" spans="1:3">
      <c r="A13">
        <v>27</v>
      </c>
      <c r="B13" s="1">
        <v>42736</v>
      </c>
      <c r="C13">
        <v>111.7</v>
      </c>
    </row>
    <row r="14" spans="1:3">
      <c r="A14">
        <v>28</v>
      </c>
      <c r="B14" s="1">
        <v>42736</v>
      </c>
      <c r="C14">
        <v>111.7</v>
      </c>
    </row>
    <row r="15" spans="1:3">
      <c r="A15">
        <v>29</v>
      </c>
      <c r="B15" s="1">
        <v>42736</v>
      </c>
      <c r="C15">
        <v>111.8</v>
      </c>
    </row>
    <row r="16" spans="1:3">
      <c r="A16">
        <v>30</v>
      </c>
      <c r="B16" s="1">
        <v>42736</v>
      </c>
      <c r="C16">
        <v>111.8</v>
      </c>
    </row>
    <row r="17" spans="1:3">
      <c r="A17">
        <v>31</v>
      </c>
      <c r="B17" s="1">
        <v>42736</v>
      </c>
      <c r="C17">
        <v>111.8</v>
      </c>
    </row>
    <row r="18" spans="1:3">
      <c r="A18">
        <v>32</v>
      </c>
      <c r="B18" s="1">
        <v>42736</v>
      </c>
      <c r="C18">
        <v>111.8</v>
      </c>
    </row>
    <row r="19" spans="1:3">
      <c r="A19">
        <v>33</v>
      </c>
      <c r="B19" s="1">
        <v>42736</v>
      </c>
      <c r="C19">
        <v>111.8</v>
      </c>
    </row>
    <row r="20" spans="1:3">
      <c r="A20">
        <v>34</v>
      </c>
      <c r="B20" s="1">
        <v>42736</v>
      </c>
      <c r="C20">
        <v>111.8</v>
      </c>
    </row>
    <row r="21" spans="1:3">
      <c r="A21">
        <v>35</v>
      </c>
      <c r="B21" s="1">
        <v>42736</v>
      </c>
      <c r="C21">
        <v>111.8</v>
      </c>
    </row>
    <row r="22" spans="1:3">
      <c r="A22">
        <v>36</v>
      </c>
      <c r="B22" s="1">
        <v>42736</v>
      </c>
      <c r="C22">
        <v>111.7</v>
      </c>
    </row>
    <row r="23" spans="1:3">
      <c r="A23">
        <v>37</v>
      </c>
      <c r="B23" s="1">
        <v>42736</v>
      </c>
      <c r="C23">
        <v>111.7</v>
      </c>
    </row>
    <row r="24" spans="1:3">
      <c r="A24">
        <v>38</v>
      </c>
      <c r="B24" s="1">
        <v>42736</v>
      </c>
      <c r="C24">
        <v>111.7</v>
      </c>
    </row>
    <row r="25" spans="1:3">
      <c r="A25">
        <v>39</v>
      </c>
      <c r="B25" s="1">
        <v>42736</v>
      </c>
      <c r="C25">
        <v>111.7</v>
      </c>
    </row>
    <row r="26" spans="1:3">
      <c r="A26">
        <v>40</v>
      </c>
      <c r="B26" s="1">
        <v>42736</v>
      </c>
      <c r="C26">
        <v>111.6</v>
      </c>
    </row>
    <row r="27" spans="1:3">
      <c r="A27">
        <v>41</v>
      </c>
      <c r="B27" s="1">
        <v>42736</v>
      </c>
      <c r="C27">
        <v>111.6</v>
      </c>
    </row>
    <row r="28" spans="1:3">
      <c r="A28">
        <v>42</v>
      </c>
      <c r="B28" s="1">
        <v>42736</v>
      </c>
      <c r="C28">
        <v>111.5</v>
      </c>
    </row>
    <row r="29" spans="1:3">
      <c r="A29">
        <v>43</v>
      </c>
      <c r="B29" s="1">
        <v>42736</v>
      </c>
      <c r="C29">
        <v>111.5</v>
      </c>
    </row>
    <row r="30" spans="1:3">
      <c r="A30">
        <v>44</v>
      </c>
      <c r="B30" s="1">
        <v>42736</v>
      </c>
      <c r="C30">
        <v>111.4</v>
      </c>
    </row>
    <row r="31" spans="1:3">
      <c r="A31">
        <v>45</v>
      </c>
      <c r="B31" s="1">
        <v>42736</v>
      </c>
      <c r="C31">
        <v>111.4</v>
      </c>
    </row>
    <row r="32" spans="1:3">
      <c r="A32">
        <v>46</v>
      </c>
      <c r="B32" s="1">
        <v>42736</v>
      </c>
      <c r="C32">
        <v>111.3</v>
      </c>
    </row>
    <row r="33" spans="1:3">
      <c r="A33">
        <v>47</v>
      </c>
      <c r="B33" s="1">
        <v>42736</v>
      </c>
      <c r="C33">
        <v>111.2</v>
      </c>
    </row>
    <row r="34" spans="1:3">
      <c r="A34">
        <v>48</v>
      </c>
      <c r="B34" s="1">
        <v>42736</v>
      </c>
      <c r="C34">
        <v>111.1</v>
      </c>
    </row>
    <row r="35" spans="1:3">
      <c r="A35">
        <v>49</v>
      </c>
      <c r="B35" s="1">
        <v>42736</v>
      </c>
      <c r="C35">
        <v>111.1</v>
      </c>
    </row>
    <row r="36" spans="1:3">
      <c r="A36">
        <v>50</v>
      </c>
      <c r="B36" s="1">
        <v>42736</v>
      </c>
      <c r="C36">
        <v>111</v>
      </c>
    </row>
    <row r="37" spans="1:3">
      <c r="A37">
        <v>51</v>
      </c>
      <c r="B37" s="1">
        <v>42736</v>
      </c>
      <c r="C37">
        <v>111</v>
      </c>
    </row>
    <row r="38" spans="1:3">
      <c r="A38">
        <v>52</v>
      </c>
      <c r="B38" s="1">
        <v>42736</v>
      </c>
      <c r="C38">
        <v>111</v>
      </c>
    </row>
    <row r="39" spans="1:3">
      <c r="A39">
        <v>53</v>
      </c>
      <c r="B39" s="1">
        <v>42736</v>
      </c>
      <c r="C39">
        <v>111</v>
      </c>
    </row>
    <row r="40" spans="1:3">
      <c r="A40">
        <v>54</v>
      </c>
      <c r="B40" s="1">
        <v>42736</v>
      </c>
      <c r="C40">
        <v>111</v>
      </c>
    </row>
    <row r="41" spans="1:3">
      <c r="A41">
        <v>55</v>
      </c>
      <c r="B41" s="1">
        <v>42736</v>
      </c>
      <c r="C41">
        <v>111</v>
      </c>
    </row>
    <row r="42" spans="1:3">
      <c r="A42">
        <v>56</v>
      </c>
      <c r="B42" s="1">
        <v>42736</v>
      </c>
      <c r="C42">
        <v>111</v>
      </c>
    </row>
    <row r="43" spans="1:3">
      <c r="A43">
        <v>57</v>
      </c>
      <c r="B43" s="1">
        <v>42736</v>
      </c>
      <c r="C43">
        <v>111</v>
      </c>
    </row>
    <row r="44" spans="1:3">
      <c r="A44">
        <v>58</v>
      </c>
      <c r="B44" s="1">
        <v>42736</v>
      </c>
      <c r="C44">
        <v>111</v>
      </c>
    </row>
    <row r="45" spans="1:3">
      <c r="A45">
        <v>59</v>
      </c>
      <c r="B45" s="1">
        <v>42736</v>
      </c>
      <c r="C45">
        <v>111</v>
      </c>
    </row>
    <row r="46" spans="1:3">
      <c r="A46">
        <v>60</v>
      </c>
      <c r="B46" s="1">
        <v>42736</v>
      </c>
      <c r="C46">
        <v>111</v>
      </c>
    </row>
    <row r="47" spans="1:3">
      <c r="A47">
        <v>61</v>
      </c>
      <c r="B47" s="1">
        <v>42736</v>
      </c>
      <c r="C47">
        <v>110.9</v>
      </c>
    </row>
    <row r="48" spans="1:3">
      <c r="A48">
        <v>62</v>
      </c>
      <c r="B48" s="1">
        <v>42736</v>
      </c>
      <c r="C48">
        <v>110.8</v>
      </c>
    </row>
    <row r="49" spans="1:3">
      <c r="A49">
        <v>63</v>
      </c>
      <c r="B49" s="1">
        <v>42736</v>
      </c>
      <c r="C49">
        <v>110.7</v>
      </c>
    </row>
    <row r="50" spans="1:3">
      <c r="A50">
        <v>64</v>
      </c>
      <c r="B50" s="1">
        <v>42736</v>
      </c>
      <c r="C50">
        <v>110.7</v>
      </c>
    </row>
    <row r="51" spans="1:3">
      <c r="A51">
        <v>65</v>
      </c>
      <c r="B51" s="1">
        <v>42736</v>
      </c>
      <c r="C51">
        <v>110.6</v>
      </c>
    </row>
    <row r="52" spans="1:3">
      <c r="A52">
        <v>66</v>
      </c>
      <c r="B52" s="1">
        <v>42736</v>
      </c>
      <c r="C52">
        <v>111.5</v>
      </c>
    </row>
    <row r="53" spans="1:3">
      <c r="A53">
        <v>67</v>
      </c>
      <c r="B53" s="1">
        <v>42736</v>
      </c>
      <c r="C53">
        <v>111.6</v>
      </c>
    </row>
    <row r="54" spans="1:3">
      <c r="A54">
        <v>68</v>
      </c>
      <c r="B54" s="1">
        <v>42736</v>
      </c>
      <c r="C54">
        <v>111.6</v>
      </c>
    </row>
    <row r="55" spans="1:3">
      <c r="A55">
        <v>69</v>
      </c>
      <c r="B55" s="1">
        <v>42736</v>
      </c>
      <c r="C55">
        <v>111.6</v>
      </c>
    </row>
    <row r="56" spans="1:3">
      <c r="A56">
        <v>70</v>
      </c>
      <c r="B56" s="1">
        <v>42736</v>
      </c>
      <c r="C56">
        <v>111.6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:C8"/>
  <sheetViews>
    <sheetView workbookViewId="0"/>
  </sheetViews>
  <sheetFormatPr defaultRowHeight="15.75"/>
  <cols>
    <col min="1" max="1" width="1.875" bestFit="1" customWidth="1"/>
    <col min="2" max="2" width="10.125" bestFit="1" customWidth="1"/>
    <col min="3" max="3" width="3.875" bestFit="1" customWidth="1"/>
  </cols>
  <sheetData>
    <row r="1" spans="1:3">
      <c r="A1">
        <v>0</v>
      </c>
      <c r="B1" s="1">
        <v>1</v>
      </c>
      <c r="C1">
        <v>0</v>
      </c>
    </row>
    <row r="2" spans="1:3">
      <c r="A2">
        <v>1</v>
      </c>
      <c r="B2" s="1">
        <v>1</v>
      </c>
      <c r="C2">
        <v>0</v>
      </c>
    </row>
    <row r="3" spans="1:3">
      <c r="A3">
        <v>2</v>
      </c>
      <c r="B3" s="1">
        <v>1</v>
      </c>
      <c r="C3">
        <v>25</v>
      </c>
    </row>
    <row r="4" spans="1:3">
      <c r="A4">
        <v>3</v>
      </c>
      <c r="B4" s="1">
        <v>1</v>
      </c>
      <c r="C4">
        <v>25</v>
      </c>
    </row>
    <row r="5" spans="1:3">
      <c r="A5">
        <v>4</v>
      </c>
      <c r="B5" s="1">
        <v>1</v>
      </c>
      <c r="C5">
        <v>50</v>
      </c>
    </row>
    <row r="6" spans="1:3">
      <c r="A6">
        <v>5</v>
      </c>
      <c r="B6" s="1">
        <v>1</v>
      </c>
      <c r="C6">
        <v>50</v>
      </c>
    </row>
    <row r="7" spans="1:3">
      <c r="A7">
        <v>6</v>
      </c>
      <c r="B7" s="1">
        <v>1</v>
      </c>
      <c r="C7">
        <v>100</v>
      </c>
    </row>
    <row r="8" spans="1:3">
      <c r="A8">
        <v>7</v>
      </c>
      <c r="B8" s="1">
        <v>1</v>
      </c>
      <c r="C8">
        <v>100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:C4"/>
  <sheetViews>
    <sheetView workbookViewId="0"/>
  </sheetViews>
  <sheetFormatPr defaultRowHeight="15.75"/>
  <cols>
    <col min="1" max="1" width="1.875" bestFit="1" customWidth="1"/>
    <col min="2" max="2" width="10.125" bestFit="1" customWidth="1"/>
    <col min="3" max="3" width="3.875" bestFit="1" customWidth="1"/>
  </cols>
  <sheetData>
    <row r="1" spans="1:3">
      <c r="A1">
        <v>0</v>
      </c>
      <c r="B1" s="1">
        <v>1</v>
      </c>
      <c r="C1">
        <v>0</v>
      </c>
    </row>
    <row r="2" spans="1:3">
      <c r="A2">
        <v>1</v>
      </c>
      <c r="B2" s="1">
        <v>1</v>
      </c>
      <c r="C2">
        <v>25</v>
      </c>
    </row>
    <row r="3" spans="1:3">
      <c r="A3">
        <v>2</v>
      </c>
      <c r="B3" s="1">
        <v>1</v>
      </c>
      <c r="C3">
        <v>50</v>
      </c>
    </row>
    <row r="4" spans="1:3">
      <c r="A4">
        <v>3</v>
      </c>
      <c r="B4" s="1">
        <v>1</v>
      </c>
      <c r="C4">
        <v>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123</vt:i4>
      </vt:variant>
      <vt:variant>
        <vt:lpstr>Named Ranges</vt:lpstr>
      </vt:variant>
      <vt:variant>
        <vt:i4>193</vt:i4>
      </vt:variant>
    </vt:vector>
  </HeadingPairs>
  <TitlesOfParts>
    <vt:vector size="316" baseType="lpstr">
      <vt:lpstr>setup</vt:lpstr>
      <vt:lpstr>statistics</vt:lpstr>
      <vt:lpstr>deelnemers</vt:lpstr>
      <vt:lpstr>extractie-dln</vt:lpstr>
      <vt:lpstr>deelberekening</vt:lpstr>
      <vt:lpstr>Opzet_confrontatie</vt:lpstr>
      <vt:lpstr>extractie-npr-op-rente</vt:lpstr>
      <vt:lpstr>extractie-npr-op-indicatief</vt:lpstr>
      <vt:lpstr>extractie-npr-op-alleenstaanden</vt:lpstr>
      <vt:lpstr>extractie-npr-pp-rente</vt:lpstr>
      <vt:lpstr>extractie-npr-pp-indicatief</vt:lpstr>
      <vt:lpstr>extractie-npr-wzp-rente</vt:lpstr>
      <vt:lpstr>extractie-npr-wzp-indicatief</vt:lpstr>
      <vt:lpstr>code-tabel-referentie</vt:lpstr>
      <vt:lpstr>28928_Rknwrdn_lgmn_FUT</vt:lpstr>
      <vt:lpstr>21489_AOW_lftjd</vt:lpstr>
      <vt:lpstr>23795_Brnchrgnst_grpn_DTL</vt:lpstr>
      <vt:lpstr>23783_CAO_grpn_DTL</vt:lpstr>
      <vt:lpstr>24423_Cd_rbdsvrhdng_DTL</vt:lpstr>
      <vt:lpstr>24531_DTL_nkp_Mxd_67_OP_70PP</vt:lpstr>
      <vt:lpstr>24532_DTL_nkp_Vrjwllg_67_OP_70</vt:lpstr>
      <vt:lpstr>24528_Flx_LOP_65_DTL</vt:lpstr>
      <vt:lpstr>24526_Flx_LOP_67_DTL</vt:lpstr>
      <vt:lpstr>26863_Flx_PREP_DTL</vt:lpstr>
      <vt:lpstr>24561_Hg_DTL_1</vt:lpstr>
      <vt:lpstr>24570_Hg_DTL_10</vt:lpstr>
      <vt:lpstr>24580_Hg_DTL_108</vt:lpstr>
      <vt:lpstr>24571_Hg_DTL_11</vt:lpstr>
      <vt:lpstr>24572_Hg_DTL_12</vt:lpstr>
      <vt:lpstr>24581_Hg_DTL_120</vt:lpstr>
      <vt:lpstr>24582_Hg_DTL_132</vt:lpstr>
      <vt:lpstr>24583_Hg_DTL_144</vt:lpstr>
      <vt:lpstr>24562_Hg_DTL_2</vt:lpstr>
      <vt:lpstr>24573_Hg_DTL_24</vt:lpstr>
      <vt:lpstr>24563_Hg_DTL_3</vt:lpstr>
      <vt:lpstr>24574_Hg_DTL_36</vt:lpstr>
      <vt:lpstr>24564_Hg_DTL_4</vt:lpstr>
      <vt:lpstr>24575_Hg_DTL_48</vt:lpstr>
      <vt:lpstr>24565_Hg_DTL_5</vt:lpstr>
      <vt:lpstr>24566_Hg_DTL_6</vt:lpstr>
      <vt:lpstr>24576_Hg_DTL_60</vt:lpstr>
      <vt:lpstr>24567_Hg_DTL_7</vt:lpstr>
      <vt:lpstr>24577_Hg_DTL_72</vt:lpstr>
      <vt:lpstr>24568_Hg_DTL_8</vt:lpstr>
      <vt:lpstr>24578_Hg_DTL_84</vt:lpstr>
      <vt:lpstr>24569_Hg_DTL_9</vt:lpstr>
      <vt:lpstr>24579_Hg_DTL_96</vt:lpstr>
      <vt:lpstr>25025_Inkp_Optk_100_70_DTL</vt:lpstr>
      <vt:lpstr>25028_Inkp_Optk_DTL</vt:lpstr>
      <vt:lpstr>24503_Lg_DTL_1</vt:lpstr>
      <vt:lpstr>24512_Lg_DTL_10</vt:lpstr>
      <vt:lpstr>24522_Lg_DTL_108</vt:lpstr>
      <vt:lpstr>24513_Lg_DTL_11</vt:lpstr>
      <vt:lpstr>24514_Lg_DTL_12</vt:lpstr>
      <vt:lpstr>24523_Lg_DTL_120</vt:lpstr>
      <vt:lpstr>24524_Lg_DTL_132</vt:lpstr>
      <vt:lpstr>24525_Lg_DTL_144</vt:lpstr>
      <vt:lpstr>24504_Lg_DTL_2</vt:lpstr>
      <vt:lpstr>24515_Lg_DTL_24</vt:lpstr>
      <vt:lpstr>24505_Lg_DTL_3</vt:lpstr>
      <vt:lpstr>24516_Lg_DTL_36</vt:lpstr>
      <vt:lpstr>24506_Lg_DTL_4</vt:lpstr>
      <vt:lpstr>24517_Lg_DTL_48</vt:lpstr>
      <vt:lpstr>24507_Lg_DTL_5</vt:lpstr>
      <vt:lpstr>24508_Lg_DTL_6</vt:lpstr>
      <vt:lpstr>24518_Lg_DTL_60</vt:lpstr>
      <vt:lpstr>24509_Lg_DTL_7</vt:lpstr>
      <vt:lpstr>24519_Lg_DTL_72</vt:lpstr>
      <vt:lpstr>24510_Lg_DTL_8</vt:lpstr>
      <vt:lpstr>24520_Lg_DTL_84</vt:lpstr>
      <vt:lpstr>24511_Lg_DTL_9</vt:lpstr>
      <vt:lpstr>24521_Lg_DTL_96</vt:lpstr>
      <vt:lpstr>24424_Nrmrn_CAO_DTL</vt:lpstr>
      <vt:lpstr>26864_Omzttng_PREP_LOP65_DTL</vt:lpstr>
      <vt:lpstr>26865_Omzttng_PREP_LOP67_DTL</vt:lpstr>
      <vt:lpstr>28763_Rknwrdn_lgmn_FUT</vt:lpstr>
      <vt:lpstr>24533_TOP_t_OP_nggn_DTL_780</vt:lpstr>
      <vt:lpstr>24534_TOP_t_OP_nggn_DTL_781</vt:lpstr>
      <vt:lpstr>24535_TOP_t_OP_nggn_DTL_782</vt:lpstr>
      <vt:lpstr>24536_TOP_t_OP_nggn_DTL_783</vt:lpstr>
      <vt:lpstr>24537_TOP_t_OP_nggn_DTL_784</vt:lpstr>
      <vt:lpstr>24538_TOP_t_OP_nggn_DTL_785</vt:lpstr>
      <vt:lpstr>24539_TOP_t_OP_nggn_DTL_786</vt:lpstr>
      <vt:lpstr>24540_TOP_t_OP_nggn_DTL_787</vt:lpstr>
      <vt:lpstr>24541_TOP_t_OP_nggn_DTL_788</vt:lpstr>
      <vt:lpstr>24542_TOP_t_OP_nggn_DTL_789</vt:lpstr>
      <vt:lpstr>24543_TOP_t_OP_nggn_DTL_790</vt:lpstr>
      <vt:lpstr>24544_TOP_t_OP_nggn_DTL_791</vt:lpstr>
      <vt:lpstr>24545_TOP_t_OP_nggn_DTL_792</vt:lpstr>
      <vt:lpstr>24546_TOP_t_OP_nggn_DTL_793</vt:lpstr>
      <vt:lpstr>24547_TOP_t_OP_nggn_DTL_794</vt:lpstr>
      <vt:lpstr>24548_TOP_t_OP_nggn_DTL_795</vt:lpstr>
      <vt:lpstr>24549_TOP_t_OP_nggn_DTL_796</vt:lpstr>
      <vt:lpstr>24550_TOP_t_OP_nggn_DTL_797</vt:lpstr>
      <vt:lpstr>24551_TOP_t_OP_nggn_DTL_798</vt:lpstr>
      <vt:lpstr>24552_TOP_t_OP_nggn_DTL_799</vt:lpstr>
      <vt:lpstr>24553_TOP_t_OP_nggn_DTL_800</vt:lpstr>
      <vt:lpstr>24554_TOP_t_OP_nggn_DTL_801</vt:lpstr>
      <vt:lpstr>24555_TOP_t_OP_nggn_DTL_802</vt:lpstr>
      <vt:lpstr>24556_TOP_t_OP_nggn_DTL_803</vt:lpstr>
      <vt:lpstr>24557_TOP_t_OP_nggn_DTL_804</vt:lpstr>
      <vt:lpstr>24558_TOP_t_OP_nggn_DTL_805</vt:lpstr>
      <vt:lpstr>28025_TOP_t_OP_nggn_DTL_806</vt:lpstr>
      <vt:lpstr>28026_TOP_t_OP_nggn_DTL_807</vt:lpstr>
      <vt:lpstr>28027_TOP_t_OP_nggn_DTL_808</vt:lpstr>
      <vt:lpstr>28028_TOP_t_OP_nggn_DTL_809</vt:lpstr>
      <vt:lpstr>28029_TOP_t_OP_nggn_DTL_810</vt:lpstr>
      <vt:lpstr>28030_TOP_t_OP_nggn_DTL_811</vt:lpstr>
      <vt:lpstr>28031_TOP_t_OP_nggn_DTL_812</vt:lpstr>
      <vt:lpstr>28032_TOP_t_OP_nggn_DTL_813</vt:lpstr>
      <vt:lpstr>28033_TOP_t_OP_nggn_DTL_814</vt:lpstr>
      <vt:lpstr>28034_TOP_t_OP_nggn_DTL_815</vt:lpstr>
      <vt:lpstr>28035_TOP_t_OP_nggn_DTL_816</vt:lpstr>
      <vt:lpstr>24529_Utrl_OP65_PP_t_dnst_DTL</vt:lpstr>
      <vt:lpstr>24527_Utrl_OP67_PP_t_dnst_DTL</vt:lpstr>
      <vt:lpstr>28036_Utrl_OP_PP_65_DTL</vt:lpstr>
      <vt:lpstr>24559_Utrl_OP_PP_DTL</vt:lpstr>
      <vt:lpstr>24560_Utrl_PP_OP_DTL</vt:lpstr>
      <vt:lpstr>25026_Utrl_PREP_LOP65_DTL</vt:lpstr>
      <vt:lpstr>25027_Utrl_PREP_LOP67_DTL</vt:lpstr>
      <vt:lpstr>24530_Utstlfctr_OP65_OP67_DTL</vt:lpstr>
      <vt:lpstr>25024_WAO_vrtzttng_DTL</vt:lpstr>
      <vt:lpstr>25023_WIA_vrtzttng_DTL</vt:lpstr>
      <vt:lpstr>Aantaltijdvakken</vt:lpstr>
      <vt:lpstr>AOW_datum</vt:lpstr>
      <vt:lpstr>AOW_jaar</vt:lpstr>
      <vt:lpstr>AOW_maand</vt:lpstr>
      <vt:lpstr>AOW_min_2</vt:lpstr>
      <vt:lpstr>AOW_min_2_jaar</vt:lpstr>
      <vt:lpstr>AOW_min_2_maand</vt:lpstr>
      <vt:lpstr>AOW_plus_1</vt:lpstr>
      <vt:lpstr>AOWplus1_jaar</vt:lpstr>
      <vt:lpstr>AOWplus1_maand</vt:lpstr>
      <vt:lpstr>begin_0</vt:lpstr>
      <vt:lpstr>begin_1</vt:lpstr>
      <vt:lpstr>begin_2</vt:lpstr>
      <vt:lpstr>begin_3</vt:lpstr>
      <vt:lpstr>begin_4</vt:lpstr>
      <vt:lpstr>begin_5</vt:lpstr>
      <vt:lpstr>begin_6</vt:lpstr>
      <vt:lpstr>begin_7</vt:lpstr>
      <vt:lpstr>begin_8</vt:lpstr>
      <vt:lpstr>begin_9</vt:lpstr>
      <vt:lpstr>BSN</vt:lpstr>
      <vt:lpstr>Datum_einde_Prep</vt:lpstr>
      <vt:lpstr>Datum_ingang_Prep</vt:lpstr>
      <vt:lpstr>Deelnemerstatus_0</vt:lpstr>
      <vt:lpstr>Deelnemerstatus_1</vt:lpstr>
      <vt:lpstr>Deelnemerstatus_2</vt:lpstr>
      <vt:lpstr>Deelnemerstatus_3</vt:lpstr>
      <vt:lpstr>Deelnemerstatus_4</vt:lpstr>
      <vt:lpstr>Deelnemerstatus_5</vt:lpstr>
      <vt:lpstr>Deelnemerstatus_6</vt:lpstr>
      <vt:lpstr>Deelnemerstatus_7</vt:lpstr>
      <vt:lpstr>Deelnemerstatus_8</vt:lpstr>
      <vt:lpstr>Deelnemerstatus_9</vt:lpstr>
      <vt:lpstr>Deeltijdfactor</vt:lpstr>
      <vt:lpstr>Duur</vt:lpstr>
      <vt:lpstr>Duur_AOW</vt:lpstr>
      <vt:lpstr>Duur_AOW_min_2</vt:lpstr>
      <vt:lpstr>Duur_AOW_plus_1</vt:lpstr>
      <vt:lpstr>DuurVZT</vt:lpstr>
      <vt:lpstr>DuurVZT_ris</vt:lpstr>
      <vt:lpstr>einde_0</vt:lpstr>
      <vt:lpstr>einde_1</vt:lpstr>
      <vt:lpstr>einde_2</vt:lpstr>
      <vt:lpstr>einde_3</vt:lpstr>
      <vt:lpstr>einde_4</vt:lpstr>
      <vt:lpstr>einde_5</vt:lpstr>
      <vt:lpstr>einde_6</vt:lpstr>
      <vt:lpstr>einde_7</vt:lpstr>
      <vt:lpstr>einde_8</vt:lpstr>
      <vt:lpstr>einde_9</vt:lpstr>
      <vt:lpstr>Excedentgrens</vt:lpstr>
      <vt:lpstr>Fictieve_opbouw_67_4wk</vt:lpstr>
      <vt:lpstr>Fictieve_opbouw_67_mnd</vt:lpstr>
      <vt:lpstr>Fictieve_opbouwexc_67_4wk</vt:lpstr>
      <vt:lpstr>Fictieve_opbouwexc_67_mnd</vt:lpstr>
      <vt:lpstr>Fiscaal_max</vt:lpstr>
      <vt:lpstr>Fiscaal_maximum_0</vt:lpstr>
      <vt:lpstr>Fiscaal_maximum_1</vt:lpstr>
      <vt:lpstr>Fiscaal_maximum_2</vt:lpstr>
      <vt:lpstr>Fiscaal_maximum_3</vt:lpstr>
      <vt:lpstr>Fiscaal_maximum_4</vt:lpstr>
      <vt:lpstr>Fiscaal_maximum_5</vt:lpstr>
      <vt:lpstr>Fiscaal_maximum_6</vt:lpstr>
      <vt:lpstr>Fiscaal_maximum_7</vt:lpstr>
      <vt:lpstr>Fiscaal_maximum_8</vt:lpstr>
      <vt:lpstr>Fiscaal_maximum_9</vt:lpstr>
      <vt:lpstr>FLEX_lop_AOW</vt:lpstr>
      <vt:lpstr>FLEX_lop_aow_plus_1</vt:lpstr>
      <vt:lpstr>Flex_lop_AOWmin2</vt:lpstr>
      <vt:lpstr>flex_toegestaan_AOW</vt:lpstr>
      <vt:lpstr>flex_toegestaan_AOW_min_2</vt:lpstr>
      <vt:lpstr>flex_toegestaan_AOW_plus_1</vt:lpstr>
      <vt:lpstr>FoutenTijdvakOPR1</vt:lpstr>
      <vt:lpstr>FoutentijdvakOPR2</vt:lpstr>
      <vt:lpstr>FoutenTijdvakOPR3</vt:lpstr>
      <vt:lpstr>FoutentijdvakOPR4</vt:lpstr>
      <vt:lpstr>FoutentijdvakPPR1</vt:lpstr>
      <vt:lpstr>FoutentijdvakPPR2</vt:lpstr>
      <vt:lpstr>FoutentijdvakPPR3</vt:lpstr>
      <vt:lpstr>FoutentijdvakPPR4</vt:lpstr>
      <vt:lpstr>FoutentijdvakWzPR1</vt:lpstr>
      <vt:lpstr>FoutentijdvakWzPR2</vt:lpstr>
      <vt:lpstr>FoutentijdvakWzPR3</vt:lpstr>
      <vt:lpstr>FoutentijdvakWzPR4</vt:lpstr>
      <vt:lpstr>Franchise</vt:lpstr>
      <vt:lpstr>Franchise_0</vt:lpstr>
      <vt:lpstr>Franchise_1</vt:lpstr>
      <vt:lpstr>Franchise_2</vt:lpstr>
      <vt:lpstr>Franchise_3</vt:lpstr>
      <vt:lpstr>Franchise_4</vt:lpstr>
      <vt:lpstr>Franchise_5</vt:lpstr>
      <vt:lpstr>Franchise_6</vt:lpstr>
      <vt:lpstr>Franchise_7</vt:lpstr>
      <vt:lpstr>Franchise_8</vt:lpstr>
      <vt:lpstr>Franchise_9</vt:lpstr>
      <vt:lpstr>Franchise_extr</vt:lpstr>
      <vt:lpstr>Geboortedatum</vt:lpstr>
      <vt:lpstr>Geboortedatum_part</vt:lpstr>
      <vt:lpstr>Inkoop_Optiek</vt:lpstr>
      <vt:lpstr>Leeftijdjaar</vt:lpstr>
      <vt:lpstr>Leeftijdmaand</vt:lpstr>
      <vt:lpstr>Loon_max_opbouw</vt:lpstr>
      <vt:lpstr>LOP_65_AOW_opgebouwd</vt:lpstr>
      <vt:lpstr>LOP_65_AOW_tebereiken</vt:lpstr>
      <vt:lpstr>LOP_65_AOWmin2_opgebouwd</vt:lpstr>
      <vt:lpstr>LOP_65_AOWmin2_tebereiken</vt:lpstr>
      <vt:lpstr>LOP_65_AOWplus1_opgebouwd</vt:lpstr>
      <vt:lpstr>LOP_65_AOWplus1_tebereiken</vt:lpstr>
      <vt:lpstr>LOP_67_AOW</vt:lpstr>
      <vt:lpstr>LOP_67_AOW_opgebouwd</vt:lpstr>
      <vt:lpstr>LOP_67_AOWmin2</vt:lpstr>
      <vt:lpstr>LOP_67_AOWmin2_opgebouwd</vt:lpstr>
      <vt:lpstr>LOP_67_AOWplus1</vt:lpstr>
      <vt:lpstr>LOP_67_AOWplus1_opgebouwd</vt:lpstr>
      <vt:lpstr>LOP_middelloon_oud</vt:lpstr>
      <vt:lpstr>LOP65_Opgebouwd</vt:lpstr>
      <vt:lpstr>LOP65_tebereiken</vt:lpstr>
      <vt:lpstr>LOP67_ACT</vt:lpstr>
      <vt:lpstr>LOP67_ACT_exc</vt:lpstr>
      <vt:lpstr>LOP67_VTZ</vt:lpstr>
      <vt:lpstr>LOP67_VZT_exc</vt:lpstr>
      <vt:lpstr>LPP_risico_excedent_toekomstig</vt:lpstr>
      <vt:lpstr>LPP_risico_middelloon_toekomstig</vt:lpstr>
      <vt:lpstr>marge</vt:lpstr>
      <vt:lpstr>Maxeda_67</vt:lpstr>
      <vt:lpstr>Norm_pensioenleeftijd</vt:lpstr>
      <vt:lpstr>Omgeving</vt:lpstr>
      <vt:lpstr>Omzetting_65_67</vt:lpstr>
      <vt:lpstr>Omzetting_Prep_LOP</vt:lpstr>
      <vt:lpstr>Opbouwpercentage</vt:lpstr>
      <vt:lpstr>Opbouwpercentage_extractie</vt:lpstr>
      <vt:lpstr>Opgebouwd_67_exc</vt:lpstr>
      <vt:lpstr>Opgebouwd_exc_67</vt:lpstr>
      <vt:lpstr>Opgebouwd67</vt:lpstr>
      <vt:lpstr>OpgebouwdPP</vt:lpstr>
      <vt:lpstr>OpgebouwdWzP</vt:lpstr>
      <vt:lpstr>Optiek</vt:lpstr>
      <vt:lpstr>Optiek_67</vt:lpstr>
      <vt:lpstr>Parttimepercentage</vt:lpstr>
      <vt:lpstr>PDTDEV</vt:lpstr>
      <vt:lpstr>PDTREG</vt:lpstr>
      <vt:lpstr>Pensioendatum67</vt:lpstr>
      <vt:lpstr>Pensioennummer</vt:lpstr>
      <vt:lpstr>Pensioensalaris</vt:lpstr>
      <vt:lpstr>Pensioensalaris_exc</vt:lpstr>
      <vt:lpstr>Pensioensalris_exc</vt:lpstr>
      <vt:lpstr>PG_ACT</vt:lpstr>
      <vt:lpstr>PG_ACT_exc</vt:lpstr>
      <vt:lpstr>PG_AO</vt:lpstr>
      <vt:lpstr>PG_AO_exc</vt:lpstr>
      <vt:lpstr>PG_deel</vt:lpstr>
      <vt:lpstr>PG_vzt_AO</vt:lpstr>
      <vt:lpstr>PG_vzt_AO_exc</vt:lpstr>
      <vt:lpstr>PP_excedent</vt:lpstr>
      <vt:lpstr>PP_middelloon</vt:lpstr>
      <vt:lpstr>PP_middelloon_0</vt:lpstr>
      <vt:lpstr>PP_middelloon_oud</vt:lpstr>
      <vt:lpstr>PPSPRD</vt:lpstr>
      <vt:lpstr>PREP_LOP_AOW</vt:lpstr>
      <vt:lpstr>PREP_LOP_AOW_min_2</vt:lpstr>
      <vt:lpstr>PREP_LOP_AOW_plus_1</vt:lpstr>
      <vt:lpstr>Prep_uitk</vt:lpstr>
      <vt:lpstr>Prepensioen</vt:lpstr>
      <vt:lpstr>Rekendatum</vt:lpstr>
      <vt:lpstr>Salaris_fictief</vt:lpstr>
      <vt:lpstr>Salaris_fictief_exc</vt:lpstr>
      <vt:lpstr>Saldo_ZP</vt:lpstr>
      <vt:lpstr>Status</vt:lpstr>
      <vt:lpstr>Tebereiken67</vt:lpstr>
      <vt:lpstr>Toekomstig_LOP_ACT_AOW</vt:lpstr>
      <vt:lpstr>Toekomstig_LOP_ACT_AOW_min2</vt:lpstr>
      <vt:lpstr>Toekomstig_LOP_ACT_AOW_plus_1</vt:lpstr>
      <vt:lpstr>Toekomstig_LOP_ACT_exc_AOW</vt:lpstr>
      <vt:lpstr>Toekomstig_LOP_ACT_exc_AOW_min2</vt:lpstr>
      <vt:lpstr>Toekomstig_LOP_ACT_exc_AOW_plus_1</vt:lpstr>
      <vt:lpstr>TPPaanwezig</vt:lpstr>
      <vt:lpstr>VerhoudingOP_PP</vt:lpstr>
      <vt:lpstr>VerzekerdPP</vt:lpstr>
      <vt:lpstr>VerzekerdPP_na_pens</vt:lpstr>
      <vt:lpstr>VerzekerdWzP</vt:lpstr>
      <vt:lpstr>VerzekerdWzPnaPens</vt:lpstr>
      <vt:lpstr>Voortzettings_percentage</vt:lpstr>
      <vt:lpstr>Voortzettingspercentage</vt:lpstr>
      <vt:lpstr>VPL_Schoen_67</vt:lpstr>
      <vt:lpstr>VPL_Schoen_OP</vt:lpstr>
      <vt:lpstr>VPL_Schoen_PP</vt:lpstr>
      <vt:lpstr>WAO_vzt_Totaal</vt:lpstr>
      <vt:lpstr>WIA_vzt_Totaal</vt:lpstr>
      <vt:lpstr>WzP_excedent</vt:lpstr>
      <vt:lpstr>WzP_excedent_opgebouwd</vt:lpstr>
      <vt:lpstr>WzP_middelloon</vt:lpstr>
      <vt:lpstr>WzP_middelloon_opgebouwd</vt:lpstr>
      <vt:lpstr>WzP_oud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Kooi, Peter van der</cp:lastModifiedBy>
  <cp:lastPrinted>2017-01-06T13:37:46Z</cp:lastPrinted>
  <dcterms:created xsi:type="dcterms:W3CDTF">2015-01-25T11:31:25Z</dcterms:created>
  <dcterms:modified xsi:type="dcterms:W3CDTF">2017-09-18T14:31:35Z</dcterms:modified>
</cp:coreProperties>
</file>
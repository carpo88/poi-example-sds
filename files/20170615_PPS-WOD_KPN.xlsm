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0" yWindow="-135" windowWidth="18975" windowHeight="6660" tabRatio="736"/>
  </bookViews>
  <sheets>
    <sheet name="Invoer" sheetId="4" r:id="rId1"/>
    <sheet name="KPN55min" sheetId="3" r:id="rId2"/>
    <sheet name="Factoren" sheetId="18" r:id="rId3"/>
    <sheet name="rentevergoeding" sheetId="14" r:id="rId4"/>
    <sheet name="toelichting" sheetId="13" r:id="rId5"/>
  </sheets>
  <functionGroups builtInGroupCount="17"/>
  <definedNames>
    <definedName name="Factoren">Factoren!$A$5:$AO$56</definedName>
    <definedName name="gesl">KPN55min!$C$2</definedName>
    <definedName name="invoer">Invoer!$A$4:$V$70</definedName>
    <definedName name="invoernr">KPN55min!$C$1</definedName>
    <definedName name="rekdat">KPN55min!$C$7</definedName>
    <definedName name="rente">KPN55min!$J$2:$K$11</definedName>
    <definedName name="tabtarief">KPN55min!$E$4:$G$8</definedName>
    <definedName name="tarSDS2014">#REF!</definedName>
  </definedNames>
  <calcPr calcId="145621"/>
</workbook>
</file>

<file path=xl/calcChain.xml><?xml version="1.0" encoding="utf-8"?>
<calcChain xmlns="http://schemas.openxmlformats.org/spreadsheetml/2006/main">
  <c r="E19" i="3" l="1"/>
  <c r="E30" i="3" s="1"/>
  <c r="E18" i="3"/>
  <c r="E29" i="3" s="1"/>
  <c r="E17" i="3"/>
  <c r="E15" i="3"/>
  <c r="E16" i="3" s="1"/>
  <c r="AH6" i="18" l="1"/>
  <c r="AI6" i="18"/>
  <c r="AJ6" i="18"/>
  <c r="AK6" i="18"/>
  <c r="AL6" i="18"/>
  <c r="AM6" i="18"/>
  <c r="AN6" i="18"/>
  <c r="AO6" i="18"/>
  <c r="AH7" i="18"/>
  <c r="AI7" i="18"/>
  <c r="AJ7" i="18"/>
  <c r="AK7" i="18"/>
  <c r="AL7" i="18"/>
  <c r="AM7" i="18"/>
  <c r="AN7" i="18"/>
  <c r="AO7" i="18"/>
  <c r="AH8" i="18"/>
  <c r="AI8" i="18"/>
  <c r="AJ8" i="18"/>
  <c r="AK8" i="18"/>
  <c r="AL8" i="18"/>
  <c r="AM8" i="18"/>
  <c r="AN8" i="18"/>
  <c r="AO8" i="18"/>
  <c r="AH9" i="18"/>
  <c r="AI9" i="18"/>
  <c r="AJ9" i="18"/>
  <c r="AK9" i="18"/>
  <c r="AL9" i="18"/>
  <c r="AM9" i="18"/>
  <c r="AN9" i="18"/>
  <c r="AO9" i="18"/>
  <c r="AH10" i="18"/>
  <c r="AI10" i="18"/>
  <c r="AJ10" i="18"/>
  <c r="AK10" i="18"/>
  <c r="AL10" i="18"/>
  <c r="AM10" i="18"/>
  <c r="AN10" i="18"/>
  <c r="AO10" i="18"/>
  <c r="AH11" i="18"/>
  <c r="AI11" i="18"/>
  <c r="AJ11" i="18"/>
  <c r="AK11" i="18"/>
  <c r="AL11" i="18"/>
  <c r="AM11" i="18"/>
  <c r="AN11" i="18"/>
  <c r="AO11" i="18"/>
  <c r="AH12" i="18"/>
  <c r="AI12" i="18"/>
  <c r="AJ12" i="18"/>
  <c r="AK12" i="18"/>
  <c r="AL12" i="18"/>
  <c r="AM12" i="18"/>
  <c r="AN12" i="18"/>
  <c r="AO12" i="18"/>
  <c r="AH13" i="18"/>
  <c r="AI13" i="18"/>
  <c r="AJ13" i="18"/>
  <c r="AK13" i="18"/>
  <c r="AL13" i="18"/>
  <c r="AM13" i="18"/>
  <c r="AN13" i="18"/>
  <c r="AO13" i="18"/>
  <c r="AH14" i="18"/>
  <c r="AI14" i="18"/>
  <c r="AJ14" i="18"/>
  <c r="AK14" i="18"/>
  <c r="AL14" i="18"/>
  <c r="AM14" i="18"/>
  <c r="AN14" i="18"/>
  <c r="AO14" i="18"/>
  <c r="AH15" i="18"/>
  <c r="AI15" i="18"/>
  <c r="AJ15" i="18"/>
  <c r="AK15" i="18"/>
  <c r="AL15" i="18"/>
  <c r="AM15" i="18"/>
  <c r="AN15" i="18"/>
  <c r="AO15" i="18"/>
  <c r="AH16" i="18"/>
  <c r="AI16" i="18"/>
  <c r="AJ16" i="18"/>
  <c r="AK16" i="18"/>
  <c r="AL16" i="18"/>
  <c r="AM16" i="18"/>
  <c r="AN16" i="18"/>
  <c r="AO16" i="18"/>
  <c r="AH17" i="18"/>
  <c r="AI17" i="18"/>
  <c r="AJ17" i="18"/>
  <c r="AK17" i="18"/>
  <c r="AL17" i="18"/>
  <c r="AM17" i="18"/>
  <c r="AN17" i="18"/>
  <c r="AO17" i="18"/>
  <c r="AH18" i="18"/>
  <c r="AI18" i="18"/>
  <c r="AJ18" i="18"/>
  <c r="AK18" i="18"/>
  <c r="AL18" i="18"/>
  <c r="AM18" i="18"/>
  <c r="AN18" i="18"/>
  <c r="AO18" i="18"/>
  <c r="AH19" i="18"/>
  <c r="AI19" i="18"/>
  <c r="AJ19" i="18"/>
  <c r="AK19" i="18"/>
  <c r="AL19" i="18"/>
  <c r="AM19" i="18"/>
  <c r="AN19" i="18"/>
  <c r="AO19" i="18"/>
  <c r="AH20" i="18"/>
  <c r="AI20" i="18"/>
  <c r="AJ20" i="18"/>
  <c r="AK20" i="18"/>
  <c r="AL20" i="18"/>
  <c r="AM20" i="18"/>
  <c r="AN20" i="18"/>
  <c r="AO20" i="18"/>
  <c r="AH21" i="18"/>
  <c r="AI21" i="18"/>
  <c r="AJ21" i="18"/>
  <c r="AK21" i="18"/>
  <c r="AL21" i="18"/>
  <c r="AM21" i="18"/>
  <c r="AN21" i="18"/>
  <c r="AO21" i="18"/>
  <c r="AH22" i="18"/>
  <c r="AI22" i="18"/>
  <c r="AJ22" i="18"/>
  <c r="AK22" i="18"/>
  <c r="AL22" i="18"/>
  <c r="AM22" i="18"/>
  <c r="AN22" i="18"/>
  <c r="AO22" i="18"/>
  <c r="AH23" i="18"/>
  <c r="AI23" i="18"/>
  <c r="AJ23" i="18"/>
  <c r="AK23" i="18"/>
  <c r="AL23" i="18"/>
  <c r="AM23" i="18"/>
  <c r="AN23" i="18"/>
  <c r="AO23" i="18"/>
  <c r="AH24" i="18"/>
  <c r="AI24" i="18"/>
  <c r="AJ24" i="18"/>
  <c r="AK24" i="18"/>
  <c r="AL24" i="18"/>
  <c r="AM24" i="18"/>
  <c r="AN24" i="18"/>
  <c r="AO24" i="18"/>
  <c r="AH25" i="18"/>
  <c r="AI25" i="18"/>
  <c r="AJ25" i="18"/>
  <c r="AK25" i="18"/>
  <c r="AL25" i="18"/>
  <c r="AM25" i="18"/>
  <c r="AN25" i="18"/>
  <c r="AO25" i="18"/>
  <c r="AH26" i="18"/>
  <c r="AI26" i="18"/>
  <c r="AJ26" i="18"/>
  <c r="AK26" i="18"/>
  <c r="AL26" i="18"/>
  <c r="AM26" i="18"/>
  <c r="AN26" i="18"/>
  <c r="AO26" i="18"/>
  <c r="AH27" i="18"/>
  <c r="AI27" i="18"/>
  <c r="AJ27" i="18"/>
  <c r="AK27" i="18"/>
  <c r="AL27" i="18"/>
  <c r="AM27" i="18"/>
  <c r="AN27" i="18"/>
  <c r="AO27" i="18"/>
  <c r="AH28" i="18"/>
  <c r="AI28" i="18"/>
  <c r="AJ28" i="18"/>
  <c r="AK28" i="18"/>
  <c r="AL28" i="18"/>
  <c r="AM28" i="18"/>
  <c r="AN28" i="18"/>
  <c r="AO28" i="18"/>
  <c r="AH29" i="18"/>
  <c r="AI29" i="18"/>
  <c r="AJ29" i="18"/>
  <c r="AK29" i="18"/>
  <c r="AL29" i="18"/>
  <c r="AM29" i="18"/>
  <c r="AN29" i="18"/>
  <c r="AO29" i="18"/>
  <c r="AH30" i="18"/>
  <c r="AI30" i="18"/>
  <c r="AJ30" i="18"/>
  <c r="AK30" i="18"/>
  <c r="AL30" i="18"/>
  <c r="AM30" i="18"/>
  <c r="AN30" i="18"/>
  <c r="AO30" i="18"/>
  <c r="AH31" i="18"/>
  <c r="AI31" i="18"/>
  <c r="AJ31" i="18"/>
  <c r="AK31" i="18"/>
  <c r="AL31" i="18"/>
  <c r="AM31" i="18"/>
  <c r="AN31" i="18"/>
  <c r="AO31" i="18"/>
  <c r="AH32" i="18"/>
  <c r="AI32" i="18"/>
  <c r="AJ32" i="18"/>
  <c r="AK32" i="18"/>
  <c r="AL32" i="18"/>
  <c r="AM32" i="18"/>
  <c r="AN32" i="18"/>
  <c r="AO32" i="18"/>
  <c r="AH33" i="18"/>
  <c r="AI33" i="18"/>
  <c r="AJ33" i="18"/>
  <c r="AK33" i="18"/>
  <c r="AL33" i="18"/>
  <c r="AM33" i="18"/>
  <c r="AN33" i="18"/>
  <c r="AO33" i="18"/>
  <c r="AH34" i="18"/>
  <c r="AI34" i="18"/>
  <c r="AJ34" i="18"/>
  <c r="AK34" i="18"/>
  <c r="AL34" i="18"/>
  <c r="AM34" i="18"/>
  <c r="AN34" i="18"/>
  <c r="AO34" i="18"/>
  <c r="AH35" i="18"/>
  <c r="AI35" i="18"/>
  <c r="AJ35" i="18"/>
  <c r="AK35" i="18"/>
  <c r="AL35" i="18"/>
  <c r="AM35" i="18"/>
  <c r="AN35" i="18"/>
  <c r="AO35" i="18"/>
  <c r="AH36" i="18"/>
  <c r="AI36" i="18"/>
  <c r="AJ36" i="18"/>
  <c r="AK36" i="18"/>
  <c r="AL36" i="18"/>
  <c r="AM36" i="18"/>
  <c r="AN36" i="18"/>
  <c r="AO36" i="18"/>
  <c r="AH37" i="18"/>
  <c r="AI37" i="18"/>
  <c r="AJ37" i="18"/>
  <c r="AK37" i="18"/>
  <c r="AL37" i="18"/>
  <c r="AM37" i="18"/>
  <c r="AN37" i="18"/>
  <c r="AO37" i="18"/>
  <c r="AH38" i="18"/>
  <c r="AI38" i="18"/>
  <c r="AJ38" i="18"/>
  <c r="AK38" i="18"/>
  <c r="AL38" i="18"/>
  <c r="AM38" i="18"/>
  <c r="AN38" i="18"/>
  <c r="AO38" i="18"/>
  <c r="AH39" i="18"/>
  <c r="AI39" i="18"/>
  <c r="AJ39" i="18"/>
  <c r="AK39" i="18"/>
  <c r="AL39" i="18"/>
  <c r="AM39" i="18"/>
  <c r="AN39" i="18"/>
  <c r="AO39" i="18"/>
  <c r="AH40" i="18"/>
  <c r="AI40" i="18"/>
  <c r="AJ40" i="18"/>
  <c r="AK40" i="18"/>
  <c r="AL40" i="18"/>
  <c r="AM40" i="18"/>
  <c r="AN40" i="18"/>
  <c r="AO40" i="18"/>
  <c r="AH41" i="18"/>
  <c r="AI41" i="18"/>
  <c r="AJ41" i="18"/>
  <c r="AK41" i="18"/>
  <c r="AL41" i="18"/>
  <c r="AM41" i="18"/>
  <c r="AN41" i="18"/>
  <c r="AO41" i="18"/>
  <c r="AH42" i="18"/>
  <c r="AI42" i="18"/>
  <c r="AJ42" i="18"/>
  <c r="AK42" i="18"/>
  <c r="AL42" i="18"/>
  <c r="AM42" i="18"/>
  <c r="AN42" i="18"/>
  <c r="AO42" i="18"/>
  <c r="AH43" i="18"/>
  <c r="AI43" i="18"/>
  <c r="AJ43" i="18"/>
  <c r="AK43" i="18"/>
  <c r="AL43" i="18"/>
  <c r="AM43" i="18"/>
  <c r="AN43" i="18"/>
  <c r="AO43" i="18"/>
  <c r="AH44" i="18"/>
  <c r="AI44" i="18"/>
  <c r="AJ44" i="18"/>
  <c r="AK44" i="18"/>
  <c r="AL44" i="18"/>
  <c r="AM44" i="18"/>
  <c r="AN44" i="18"/>
  <c r="AO44" i="18"/>
  <c r="AH45" i="18"/>
  <c r="AI45" i="18"/>
  <c r="AJ45" i="18"/>
  <c r="AK45" i="18"/>
  <c r="AL45" i="18"/>
  <c r="AM45" i="18"/>
  <c r="AN45" i="18"/>
  <c r="AO45" i="18"/>
  <c r="AH46" i="18"/>
  <c r="AI46" i="18"/>
  <c r="AJ46" i="18"/>
  <c r="AK46" i="18"/>
  <c r="AL46" i="18"/>
  <c r="AM46" i="18"/>
  <c r="AN46" i="18"/>
  <c r="AO46" i="18"/>
  <c r="AH47" i="18"/>
  <c r="AI47" i="18"/>
  <c r="AJ47" i="18"/>
  <c r="AK47" i="18"/>
  <c r="AL47" i="18"/>
  <c r="AM47" i="18"/>
  <c r="AN47" i="18"/>
  <c r="AO47" i="18"/>
  <c r="AH48" i="18"/>
  <c r="AI48" i="18"/>
  <c r="AJ48" i="18"/>
  <c r="AK48" i="18"/>
  <c r="AL48" i="18"/>
  <c r="AM48" i="18"/>
  <c r="AN48" i="18"/>
  <c r="AO48" i="18"/>
  <c r="AH49" i="18"/>
  <c r="AI49" i="18"/>
  <c r="AJ49" i="18"/>
  <c r="AK49" i="18"/>
  <c r="AL49" i="18"/>
  <c r="AM49" i="18"/>
  <c r="AN49" i="18"/>
  <c r="AO49" i="18"/>
  <c r="AH50" i="18"/>
  <c r="AI50" i="18"/>
  <c r="AJ50" i="18"/>
  <c r="AK50" i="18"/>
  <c r="AL50" i="18"/>
  <c r="AM50" i="18"/>
  <c r="AN50" i="18"/>
  <c r="AO50" i="18"/>
  <c r="AH51" i="18"/>
  <c r="AI51" i="18"/>
  <c r="AJ51" i="18"/>
  <c r="AK51" i="18"/>
  <c r="AL51" i="18"/>
  <c r="AM51" i="18"/>
  <c r="AN51" i="18"/>
  <c r="AO51" i="18"/>
  <c r="AH52" i="18"/>
  <c r="AI52" i="18"/>
  <c r="AJ52" i="18"/>
  <c r="AK52" i="18"/>
  <c r="AL52" i="18"/>
  <c r="AM52" i="18"/>
  <c r="AN52" i="18"/>
  <c r="AO52" i="18"/>
  <c r="AH53" i="18"/>
  <c r="AI53" i="18"/>
  <c r="AJ53" i="18"/>
  <c r="AK53" i="18"/>
  <c r="AL53" i="18"/>
  <c r="AM53" i="18"/>
  <c r="AN53" i="18"/>
  <c r="AO53" i="18"/>
  <c r="AH54" i="18"/>
  <c r="AI54" i="18"/>
  <c r="AJ54" i="18"/>
  <c r="AK54" i="18"/>
  <c r="AL54" i="18"/>
  <c r="AM54" i="18"/>
  <c r="AN54" i="18"/>
  <c r="AO54" i="18"/>
  <c r="AH55" i="18"/>
  <c r="AI55" i="18"/>
  <c r="AJ55" i="18"/>
  <c r="AK55" i="18"/>
  <c r="AL55" i="18"/>
  <c r="AM55" i="18"/>
  <c r="AN55" i="18"/>
  <c r="AO55" i="18"/>
  <c r="AH56" i="18"/>
  <c r="AI56" i="18"/>
  <c r="AJ56" i="18"/>
  <c r="AK56" i="18"/>
  <c r="AL56" i="18"/>
  <c r="AM56" i="18"/>
  <c r="AN56" i="18"/>
  <c r="AO56" i="18"/>
  <c r="AO5" i="18"/>
  <c r="AN5" i="18"/>
  <c r="AM5" i="18"/>
  <c r="AL5" i="18"/>
  <c r="AK5" i="18"/>
  <c r="AJ5" i="18"/>
  <c r="AI5" i="18"/>
  <c r="AH5" i="18"/>
  <c r="AO4" i="18"/>
  <c r="AN4" i="18"/>
  <c r="AM4" i="18"/>
  <c r="AL4" i="18"/>
  <c r="AK4" i="18"/>
  <c r="AJ4" i="18"/>
  <c r="AI4" i="18"/>
  <c r="AH4" i="18"/>
  <c r="AO3" i="18"/>
  <c r="AN3" i="18"/>
  <c r="AM3" i="18"/>
  <c r="AL3" i="18"/>
  <c r="AK3" i="18"/>
  <c r="AJ3" i="18"/>
  <c r="AI3" i="18"/>
  <c r="AH3" i="18"/>
  <c r="AH2" i="18"/>
  <c r="AH1" i="18"/>
  <c r="AI1" i="18" s="1"/>
  <c r="AJ1" i="18" s="1"/>
  <c r="AK1" i="18" s="1"/>
  <c r="AL1" i="18" s="1"/>
  <c r="AM1" i="18" s="1"/>
  <c r="AN1" i="18" s="1"/>
  <c r="AO1" i="18" s="1"/>
  <c r="B1" i="18"/>
  <c r="C1" i="18" s="1"/>
  <c r="D1" i="18" s="1"/>
  <c r="E1" i="18" s="1"/>
  <c r="F1" i="18" s="1"/>
  <c r="G1" i="18" s="1"/>
  <c r="H1" i="18" s="1"/>
  <c r="I1" i="18" s="1"/>
  <c r="J1" i="18" s="1"/>
  <c r="K1" i="18" s="1"/>
  <c r="L1" i="18" s="1"/>
  <c r="M1" i="18" s="1"/>
  <c r="N1" i="18" s="1"/>
  <c r="O1" i="18" s="1"/>
  <c r="P1" i="18" s="1"/>
  <c r="Q1" i="18" s="1"/>
  <c r="R1" i="18" s="1"/>
  <c r="S1" i="18" s="1"/>
  <c r="T1" i="18" s="1"/>
  <c r="U1" i="18" s="1"/>
  <c r="V1" i="18" s="1"/>
  <c r="W1" i="18" s="1"/>
  <c r="X1" i="18" s="1"/>
  <c r="Y1" i="18" s="1"/>
  <c r="Z1" i="18" s="1"/>
  <c r="AA1" i="18" s="1"/>
  <c r="AB1" i="18" s="1"/>
  <c r="AC1" i="18" s="1"/>
  <c r="AD1" i="18" s="1"/>
  <c r="AE1" i="18" s="1"/>
  <c r="AF1" i="18" s="1"/>
  <c r="AG1" i="18" s="1"/>
  <c r="I3" i="18"/>
  <c r="Q3" i="18" s="1"/>
  <c r="Y3" i="18" s="1"/>
  <c r="AG3" i="18" s="1"/>
  <c r="G3" i="18"/>
  <c r="O3" i="18" s="1"/>
  <c r="W3" i="18" s="1"/>
  <c r="AE3" i="18" s="1"/>
  <c r="E3" i="18"/>
  <c r="M3" i="18" s="1"/>
  <c r="U3" i="18" s="1"/>
  <c r="AC3" i="18" s="1"/>
  <c r="C3" i="18"/>
  <c r="K3" i="18" s="1"/>
  <c r="S3" i="18" s="1"/>
  <c r="AA3" i="18" s="1"/>
  <c r="Q4" i="18"/>
  <c r="Y4" i="18" s="1"/>
  <c r="AG4" i="18" s="1"/>
  <c r="P4" i="18"/>
  <c r="X4" i="18" s="1"/>
  <c r="AF4" i="18" s="1"/>
  <c r="O4" i="18"/>
  <c r="W4" i="18" s="1"/>
  <c r="AE4" i="18" s="1"/>
  <c r="N4" i="18"/>
  <c r="V4" i="18" s="1"/>
  <c r="AD4" i="18" s="1"/>
  <c r="M4" i="18"/>
  <c r="U4" i="18" s="1"/>
  <c r="AC4" i="18" s="1"/>
  <c r="L4" i="18"/>
  <c r="T4" i="18" s="1"/>
  <c r="AB4" i="18" s="1"/>
  <c r="K4" i="18"/>
  <c r="S4" i="18" s="1"/>
  <c r="AA4" i="18" s="1"/>
  <c r="P3" i="18"/>
  <c r="X3" i="18" s="1"/>
  <c r="AF3" i="18" s="1"/>
  <c r="N3" i="18"/>
  <c r="V3" i="18" s="1"/>
  <c r="AD3" i="18" s="1"/>
  <c r="L3" i="18"/>
  <c r="T3" i="18" s="1"/>
  <c r="AB3" i="18" s="1"/>
  <c r="J4" i="18"/>
  <c r="R4" i="18" s="1"/>
  <c r="Z4" i="18" s="1"/>
  <c r="J3" i="18"/>
  <c r="R3" i="18" s="1"/>
  <c r="Z3" i="18" s="1"/>
  <c r="J2" i="18"/>
  <c r="R2" i="18" s="1"/>
  <c r="Z2" i="18" s="1"/>
  <c r="E9" i="4" l="1"/>
  <c r="E5" i="4"/>
  <c r="E6" i="4"/>
  <c r="E7" i="4"/>
  <c r="E8" i="4"/>
  <c r="E4" i="4"/>
  <c r="N5" i="4"/>
  <c r="N7" i="4"/>
  <c r="L6" i="4"/>
  <c r="L7" i="4" s="1"/>
  <c r="A32" i="3"/>
  <c r="A21" i="3"/>
  <c r="A5" i="4"/>
  <c r="A6" i="4" s="1"/>
  <c r="A7" i="4" s="1"/>
  <c r="A8" i="4" l="1"/>
  <c r="A9" i="4" s="1"/>
  <c r="C3" i="3"/>
  <c r="C19" i="3"/>
  <c r="C23" i="3"/>
  <c r="C6" i="3"/>
  <c r="C10" i="3"/>
  <c r="C25" i="3"/>
  <c r="C24" i="3"/>
  <c r="C7" i="3"/>
  <c r="E9" i="3" s="1"/>
  <c r="C9" i="3"/>
  <c r="D25" i="3" s="1"/>
  <c r="C30" i="3"/>
  <c r="C2" i="3"/>
  <c r="E10" i="3" s="1"/>
  <c r="C4" i="3"/>
  <c r="C16" i="3"/>
  <c r="C18" i="3"/>
  <c r="C17" i="3"/>
  <c r="C15" i="3"/>
  <c r="C29" i="3"/>
  <c r="C8" i="3"/>
  <c r="B3" i="14" s="1"/>
  <c r="C5" i="3"/>
  <c r="C11" i="3"/>
  <c r="B2" i="14"/>
  <c r="D23" i="3"/>
  <c r="D18" i="3"/>
  <c r="D17" i="3"/>
  <c r="D16" i="3"/>
  <c r="D19" i="3"/>
  <c r="D29" i="3"/>
  <c r="D30" i="3"/>
  <c r="D15" i="3"/>
  <c r="F23" i="3" l="1"/>
  <c r="F25" i="3"/>
  <c r="B6" i="14"/>
  <c r="B7" i="14" s="1"/>
  <c r="B8" i="14" s="1"/>
  <c r="F30" i="3"/>
  <c r="F15" i="3"/>
  <c r="D24" i="3"/>
  <c r="F24" i="3" s="1"/>
  <c r="F17" i="3"/>
  <c r="F18" i="3"/>
  <c r="F16" i="3"/>
  <c r="F29" i="3"/>
  <c r="F19" i="3"/>
  <c r="F32" i="3" l="1"/>
  <c r="F21" i="3"/>
  <c r="C40" i="3" s="1"/>
  <c r="F27" i="3" l="1"/>
  <c r="C34" i="3" l="1"/>
  <c r="C35" i="3" s="1"/>
  <c r="C37" i="3"/>
  <c r="C42" i="3"/>
  <c r="C38" i="3" l="1"/>
  <c r="E42" i="3" s="1"/>
</calcChain>
</file>

<file path=xl/sharedStrings.xml><?xml version="1.0" encoding="utf-8"?>
<sst xmlns="http://schemas.openxmlformats.org/spreadsheetml/2006/main" count="125" uniqueCount="88">
  <si>
    <t>Geslacht</t>
  </si>
  <si>
    <t>Geboortedatum</t>
  </si>
  <si>
    <t>Rekendatum</t>
  </si>
  <si>
    <t>Leeftijd berekeningsdatum</t>
  </si>
  <si>
    <t>Pensioendatum</t>
  </si>
  <si>
    <t>Datum uit dienst</t>
  </si>
  <si>
    <t>aanspraak</t>
  </si>
  <si>
    <t>Betaaldatum</t>
  </si>
  <si>
    <t>rente</t>
  </si>
  <si>
    <t>Invoernr</t>
  </si>
  <si>
    <t>M</t>
  </si>
  <si>
    <t>gebdat</t>
  </si>
  <si>
    <t>pensdat</t>
  </si>
  <si>
    <t>uitdienstdat</t>
  </si>
  <si>
    <t>rekdat</t>
  </si>
  <si>
    <t>betdat</t>
  </si>
  <si>
    <t>aantal meetellende dagen van rekenmaand</t>
  </si>
  <si>
    <t>aantal meetellende dagen van betaalmaand</t>
  </si>
  <si>
    <t>aantal meetellende dagen van tussenliggende maanden</t>
  </si>
  <si>
    <t>kolom nr</t>
  </si>
  <si>
    <t>burgerlijke
staat</t>
  </si>
  <si>
    <t>gehuwd</t>
  </si>
  <si>
    <t>niet gehuwd</t>
  </si>
  <si>
    <t>Burgerlijke staat</t>
  </si>
  <si>
    <t>zoekkolom</t>
  </si>
  <si>
    <t>Overig</t>
  </si>
  <si>
    <t>Totaal aantal dagen</t>
  </si>
  <si>
    <t>Te vergoeden maanden</t>
  </si>
  <si>
    <t>Rentevergoeding</t>
  </si>
  <si>
    <t>tarief WOD</t>
  </si>
  <si>
    <t>m</t>
  </si>
  <si>
    <t>Overdrachtswaarde</t>
  </si>
  <si>
    <t>gelijk aan u-rendement van januari</t>
  </si>
  <si>
    <t xml:space="preserve">door: </t>
  </si>
  <si>
    <t>controle:</t>
  </si>
  <si>
    <t>V</t>
  </si>
  <si>
    <t>Totaal overdrachtswaarde en rentevergoeding</t>
  </si>
  <si>
    <t>v</t>
  </si>
  <si>
    <t>OP67</t>
  </si>
  <si>
    <t>versie:</t>
  </si>
  <si>
    <t>Factoren voor het jaar 2014 toegevoegd</t>
  </si>
  <si>
    <t>LOP67 excl. verevening</t>
  </si>
  <si>
    <t>verevend LOP67</t>
  </si>
  <si>
    <t>PP middelloon excl. BPP</t>
  </si>
  <si>
    <t>PP bijzonder LOP</t>
  </si>
  <si>
    <t>bedoeld voor uitgaande waardeoverdrachten vanaf 1-1-2014</t>
  </si>
  <si>
    <t xml:space="preserve">Sheet bedoeld voor rekenmethodiek bij uitgaande waardeoverdrachten. </t>
  </si>
  <si>
    <t>LET OP: de lay-out van de tarieven 2014 is anders dan van de tarieven 2013</t>
  </si>
  <si>
    <t xml:space="preserve">Pf KPN 55min </t>
  </si>
  <si>
    <t>regeling PfKPN 55min nieuw 67</t>
  </si>
  <si>
    <t>OPO</t>
  </si>
  <si>
    <t>BPR</t>
  </si>
  <si>
    <t>IPS</t>
  </si>
  <si>
    <t>PPS</t>
  </si>
  <si>
    <t>Saldo Beschikbare premieregeling</t>
  </si>
  <si>
    <t>Saldo Individueel pensioensparen</t>
  </si>
  <si>
    <t>Saldo prepensioensparen</t>
  </si>
  <si>
    <t>Overdrachtswaarde incl. spaarproducten, excl. achterblijvende OW</t>
  </si>
  <si>
    <t>versie dd 24-03-2014</t>
  </si>
  <si>
    <t>Hester Nieuwkerk</t>
  </si>
  <si>
    <t>Jan van der Ploeg</t>
  </si>
  <si>
    <t>dit sheet is niet bedoeld voor deelnemers uit de KPN55min 2014 regeling plft 67</t>
  </si>
  <si>
    <t>Standaard PP</t>
  </si>
  <si>
    <t>Opmerkingen bij rekensheet WOD KPN55min</t>
  </si>
  <si>
    <t>Standaard OP67</t>
  </si>
  <si>
    <t>PP eindloon oud excl. BPP (niet uitruilbaar)</t>
  </si>
  <si>
    <t>PP middelloon excl. BPP (uitruilbaar)</t>
  </si>
  <si>
    <t>PP eindloon oud excl. BPP</t>
  </si>
  <si>
    <t>Niet over te dragen (B)PP bij OP67 (niet uitruilbaar)</t>
  </si>
  <si>
    <t>Niet over te dragen (B)PP bij LOP67 (uitruilbaar)</t>
  </si>
  <si>
    <t>Regeling</t>
  </si>
  <si>
    <t>STPS</t>
  </si>
  <si>
    <t>KPN</t>
  </si>
  <si>
    <t>OPF KPN</t>
  </si>
  <si>
    <t>Depot</t>
  </si>
  <si>
    <t>C</t>
  </si>
  <si>
    <t>Wijziging: waarde van C33 werd bepaald mbv factor in cel D33, aangepast naar cel D32</t>
  </si>
  <si>
    <t>Wijziging: ook cel C33 in aftrek meegenomen</t>
  </si>
  <si>
    <t>20170615 PPS-WOD KPN</t>
  </si>
  <si>
    <t>Wijzigingen tov versie 2014</t>
  </si>
  <si>
    <t>Aanscherping in bepaling standaard OP- en PP-aanspraken: verwerking van achterblijvend niet uitruilbaar BPP.</t>
  </si>
  <si>
    <t>Leeftijd</t>
  </si>
  <si>
    <t>NP uitruilbaar</t>
  </si>
  <si>
    <t>NP niet uitruilbaar</t>
  </si>
  <si>
    <t>OPO 67</t>
  </si>
  <si>
    <t>PP bijzonder oud</t>
  </si>
  <si>
    <t>L</t>
  </si>
  <si>
    <t>Het oranje blok bevat het huidige formularium; het gele blok het aangepaste formularium.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</si>
</sst>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 * #,##0.00_ ;_ * \-#,##0.00_ ;_ * &quot;-&quot;??_ ;_ @_ "/>
    <numFmt numFmtId="164" formatCode="_-* #,##0.00_-;_-* #,##0.00\-;_-* &quot;-&quot;??_-;_-@_-"/>
    <numFmt numFmtId="165" formatCode="0.000"/>
    <numFmt numFmtId="166" formatCode="_-* #,##0_-;_-* #,##0\-;_-* &quot;-&quot;??_-;_-@_-"/>
    <numFmt numFmtId="167" formatCode="_-* #,##0.000_-;_-* #,##0.000\-;_-* &quot;-&quot;??_-;_-@_-"/>
    <numFmt numFmtId="168" formatCode="_-* #,##0.0000_-;_-* #,##0.0000\-;_-* &quot;-&quot;??_-;_-@_-"/>
    <numFmt numFmtId="169" formatCode="_-* #,##0.00000_-;_-* #,##0.00000\-;_-* &quot;-&quot;??_-;_-@_-"/>
    <numFmt numFmtId="170" formatCode="0.00000"/>
    <numFmt numFmtId="171" formatCode="_ * #,##0.000_ ;_ * \-#,##0.000_ ;_ * &quot;-&quot;??_ ;_ @_ 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sz val="10"/>
      <color indexed="3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</cellStyleXfs>
  <cellXfs count="121">
    <xf numFmtId="0" fontId="0" fillId="0" borderId="0" xfId="0"/>
    <xf numFmtId="164" fontId="0" fillId="0" borderId="0" xfId="1" applyFont="1"/>
    <xf numFmtId="14" fontId="0" fillId="0" borderId="0" xfId="0" applyNumberFormat="1"/>
    <xf numFmtId="2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2" fillId="0" borderId="0" xfId="0" applyFont="1"/>
    <xf numFmtId="168" fontId="0" fillId="0" borderId="0" xfId="1" applyNumberFormat="1" applyFont="1"/>
    <xf numFmtId="169" fontId="0" fillId="0" borderId="0" xfId="1" applyNumberFormat="1" applyFont="1"/>
    <xf numFmtId="0" fontId="0" fillId="0" borderId="0" xfId="0" applyNumberFormat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166" fontId="0" fillId="0" borderId="0" xfId="1" applyNumberFormat="1" applyFont="1" applyBorder="1"/>
    <xf numFmtId="9" fontId="0" fillId="0" borderId="0" xfId="0" applyNumberFormat="1"/>
    <xf numFmtId="0" fontId="0" fillId="0" borderId="0" xfId="0" applyAlignment="1">
      <alignment wrapText="1"/>
    </xf>
    <xf numFmtId="166" fontId="1" fillId="0" borderId="0" xfId="1" applyNumberFormat="1"/>
    <xf numFmtId="0" fontId="5" fillId="0" borderId="0" xfId="0" applyFont="1"/>
    <xf numFmtId="0" fontId="6" fillId="0" borderId="0" xfId="0" applyFont="1"/>
    <xf numFmtId="14" fontId="0" fillId="0" borderId="0" xfId="0" applyNumberFormat="1" applyFill="1"/>
    <xf numFmtId="0" fontId="5" fillId="0" borderId="0" xfId="0" applyFont="1" applyFill="1"/>
    <xf numFmtId="0" fontId="0" fillId="0" borderId="0" xfId="0" applyFill="1"/>
    <xf numFmtId="166" fontId="0" fillId="0" borderId="2" xfId="1" applyNumberFormat="1" applyFont="1" applyBorder="1"/>
    <xf numFmtId="0" fontId="1" fillId="0" borderId="0" xfId="0" applyFont="1"/>
    <xf numFmtId="0" fontId="1" fillId="0" borderId="0" xfId="0" applyFont="1" applyAlignment="1">
      <alignment wrapText="1"/>
    </xf>
    <xf numFmtId="166" fontId="1" fillId="0" borderId="0" xfId="1" applyNumberFormat="1" applyFont="1" applyAlignment="1">
      <alignment wrapText="1"/>
    </xf>
    <xf numFmtId="0" fontId="0" fillId="0" borderId="3" xfId="0" applyBorder="1"/>
    <xf numFmtId="0" fontId="0" fillId="0" borderId="4" xfId="0" applyBorder="1"/>
    <xf numFmtId="10" fontId="0" fillId="0" borderId="5" xfId="0" applyNumberFormat="1" applyBorder="1"/>
    <xf numFmtId="10" fontId="4" fillId="0" borderId="5" xfId="1" applyNumberFormat="1" applyFont="1" applyBorder="1"/>
    <xf numFmtId="10" fontId="0" fillId="0" borderId="5" xfId="0" applyNumberFormat="1" applyBorder="1" applyProtection="1">
      <protection locked="0"/>
    </xf>
    <xf numFmtId="0" fontId="0" fillId="0" borderId="6" xfId="0" applyBorder="1"/>
    <xf numFmtId="0" fontId="2" fillId="0" borderId="0" xfId="0" applyFont="1" applyBorder="1" applyAlignment="1">
      <alignment horizontal="right"/>
    </xf>
    <xf numFmtId="0" fontId="2" fillId="0" borderId="0" xfId="0" applyNumberFormat="1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1" fillId="3" borderId="0" xfId="0" applyFont="1" applyFill="1"/>
    <xf numFmtId="0" fontId="0" fillId="3" borderId="0" xfId="0" applyFill="1"/>
    <xf numFmtId="14" fontId="1" fillId="0" borderId="0" xfId="0" applyNumberFormat="1" applyFont="1"/>
    <xf numFmtId="0" fontId="0" fillId="3" borderId="8" xfId="0" applyFill="1" applyBorder="1"/>
    <xf numFmtId="0" fontId="8" fillId="0" borderId="0" xfId="0" applyFont="1"/>
    <xf numFmtId="166" fontId="7" fillId="0" borderId="0" xfId="1" applyNumberFormat="1" applyFont="1" applyFill="1"/>
    <xf numFmtId="0" fontId="0" fillId="0" borderId="0" xfId="0" applyBorder="1"/>
    <xf numFmtId="0" fontId="2" fillId="5" borderId="10" xfId="0" applyFont="1" applyFill="1" applyBorder="1"/>
    <xf numFmtId="0" fontId="2" fillId="5" borderId="11" xfId="0" applyFont="1" applyFill="1" applyBorder="1"/>
    <xf numFmtId="43" fontId="2" fillId="5" borderId="12" xfId="0" applyNumberFormat="1" applyFont="1" applyFill="1" applyBorder="1"/>
    <xf numFmtId="164" fontId="1" fillId="2" borderId="0" xfId="1" applyFont="1" applyFill="1"/>
    <xf numFmtId="10" fontId="1" fillId="0" borderId="5" xfId="0" applyNumberFormat="1" applyFont="1" applyFill="1" applyBorder="1"/>
    <xf numFmtId="0" fontId="8" fillId="0" borderId="0" xfId="0" applyFont="1" applyFill="1"/>
    <xf numFmtId="0" fontId="8" fillId="0" borderId="0" xfId="0" applyFont="1" applyBorder="1"/>
    <xf numFmtId="0" fontId="2" fillId="3" borderId="0" xfId="0" applyFont="1" applyFill="1"/>
    <xf numFmtId="170" fontId="0" fillId="0" borderId="0" xfId="0" applyNumberFormat="1" applyFill="1"/>
    <xf numFmtId="0" fontId="1" fillId="0" borderId="0" xfId="0" applyFont="1" applyBorder="1"/>
    <xf numFmtId="14" fontId="0" fillId="0" borderId="0" xfId="0" applyNumberFormat="1" applyBorder="1"/>
    <xf numFmtId="14" fontId="1" fillId="0" borderId="0" xfId="0" applyNumberFormat="1" applyFont="1" applyBorder="1"/>
    <xf numFmtId="14" fontId="8" fillId="0" borderId="0" xfId="0" applyNumberFormat="1" applyFont="1" applyFill="1" applyBorder="1"/>
    <xf numFmtId="164" fontId="8" fillId="0" borderId="0" xfId="1" applyFont="1" applyBorder="1"/>
    <xf numFmtId="10" fontId="1" fillId="0" borderId="13" xfId="0" applyNumberFormat="1" applyFont="1" applyFill="1" applyBorder="1"/>
    <xf numFmtId="171" fontId="0" fillId="0" borderId="0" xfId="1" applyNumberFormat="1" applyFont="1"/>
    <xf numFmtId="0" fontId="0" fillId="0" borderId="0" xfId="0" applyAlignment="1"/>
    <xf numFmtId="0" fontId="1" fillId="0" borderId="0" xfId="0" applyFont="1" applyFill="1" applyBorder="1"/>
    <xf numFmtId="167" fontId="1" fillId="0" borderId="0" xfId="1" applyNumberFormat="1" applyFont="1" applyFill="1" applyBorder="1"/>
    <xf numFmtId="169" fontId="1" fillId="0" borderId="0" xfId="1" applyNumberFormat="1" applyFont="1" applyFill="1" applyBorder="1"/>
    <xf numFmtId="166" fontId="0" fillId="0" borderId="1" xfId="1" applyNumberFormat="1" applyFont="1" applyBorder="1"/>
    <xf numFmtId="166" fontId="2" fillId="0" borderId="0" xfId="0" applyNumberFormat="1" applyFont="1" applyFill="1" applyBorder="1"/>
    <xf numFmtId="166" fontId="1" fillId="0" borderId="14" xfId="1" applyNumberFormat="1" applyFont="1" applyBorder="1"/>
    <xf numFmtId="166" fontId="2" fillId="2" borderId="15" xfId="0" applyNumberFormat="1" applyFont="1" applyFill="1" applyBorder="1"/>
    <xf numFmtId="14" fontId="0" fillId="0" borderId="0" xfId="0" applyNumberFormat="1" applyAlignment="1">
      <alignment horizontal="right"/>
    </xf>
    <xf numFmtId="0" fontId="1" fillId="0" borderId="0" xfId="0" applyFont="1" applyAlignment="1"/>
    <xf numFmtId="0" fontId="2" fillId="0" borderId="0" xfId="0" applyFont="1" applyAlignment="1"/>
    <xf numFmtId="165" fontId="5" fillId="0" borderId="0" xfId="4" applyNumberFormat="1" applyBorder="1" applyAlignment="1"/>
    <xf numFmtId="165" fontId="5" fillId="0" borderId="0" xfId="4" applyNumberFormat="1" applyFill="1" applyBorder="1" applyAlignment="1"/>
    <xf numFmtId="0" fontId="5" fillId="0" borderId="0" xfId="4" applyBorder="1" applyAlignment="1"/>
    <xf numFmtId="165" fontId="1" fillId="0" borderId="0" xfId="4" applyNumberFormat="1" applyFont="1" applyFill="1" applyBorder="1" applyAlignment="1"/>
    <xf numFmtId="0" fontId="5" fillId="0" borderId="1" xfId="4" applyBorder="1" applyAlignment="1"/>
    <xf numFmtId="0" fontId="2" fillId="0" borderId="1" xfId="4" applyFont="1" applyBorder="1" applyAlignment="1"/>
    <xf numFmtId="1" fontId="5" fillId="0" borderId="0" xfId="4" applyNumberFormat="1" applyFill="1" applyBorder="1" applyAlignment="1"/>
    <xf numFmtId="1" fontId="5" fillId="0" borderId="0" xfId="4" applyNumberFormat="1" applyBorder="1" applyAlignment="1"/>
    <xf numFmtId="0" fontId="0" fillId="0" borderId="0" xfId="0" applyAlignment="1">
      <alignment textRotation="90"/>
    </xf>
    <xf numFmtId="165" fontId="5" fillId="0" borderId="3" xfId="4" applyNumberFormat="1" applyBorder="1" applyAlignment="1">
      <alignment textRotation="90"/>
    </xf>
    <xf numFmtId="165" fontId="5" fillId="0" borderId="16" xfId="4" applyNumberFormat="1" applyBorder="1" applyAlignment="1">
      <alignment textRotation="90"/>
    </xf>
    <xf numFmtId="165" fontId="5" fillId="0" borderId="13" xfId="4" applyNumberFormat="1" applyBorder="1" applyAlignment="1">
      <alignment textRotation="90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5" xfId="0" applyBorder="1" applyAlignment="1">
      <alignment horizontal="right"/>
    </xf>
    <xf numFmtId="165" fontId="5" fillId="0" borderId="4" xfId="4" applyNumberFormat="1" applyFill="1" applyBorder="1" applyAlignment="1"/>
    <xf numFmtId="165" fontId="5" fillId="0" borderId="5" xfId="4" applyNumberFormat="1" applyBorder="1" applyAlignment="1"/>
    <xf numFmtId="0" fontId="5" fillId="0" borderId="4" xfId="4" applyBorder="1" applyAlignment="1"/>
    <xf numFmtId="0" fontId="5" fillId="0" borderId="5" xfId="4" applyBorder="1" applyAlignment="1"/>
    <xf numFmtId="0" fontId="5" fillId="0" borderId="6" xfId="4" applyBorder="1" applyAlignment="1"/>
    <xf numFmtId="0" fontId="5" fillId="0" borderId="9" xfId="4" applyBorder="1" applyAlignment="1"/>
    <xf numFmtId="0" fontId="0" fillId="0" borderId="5" xfId="0" applyBorder="1"/>
    <xf numFmtId="0" fontId="0" fillId="0" borderId="1" xfId="0" applyBorder="1"/>
    <xf numFmtId="0" fontId="0" fillId="0" borderId="9" xfId="0" applyBorder="1"/>
    <xf numFmtId="165" fontId="1" fillId="0" borderId="3" xfId="4" applyNumberFormat="1" applyFont="1" applyBorder="1" applyAlignment="1">
      <alignment textRotation="90"/>
    </xf>
    <xf numFmtId="165" fontId="1" fillId="0" borderId="16" xfId="4" applyNumberFormat="1" applyFont="1" applyBorder="1" applyAlignment="1">
      <alignment textRotation="90"/>
    </xf>
    <xf numFmtId="0" fontId="1" fillId="0" borderId="4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171" fontId="5" fillId="0" borderId="0" xfId="4" applyNumberFormat="1" applyFill="1" applyBorder="1" applyAlignment="1"/>
    <xf numFmtId="171" fontId="5" fillId="0" borderId="0" xfId="4" applyNumberFormat="1" applyBorder="1" applyAlignment="1"/>
    <xf numFmtId="171" fontId="5" fillId="0" borderId="1" xfId="4" applyNumberFormat="1" applyBorder="1" applyAlignment="1"/>
    <xf numFmtId="165" fontId="0" fillId="0" borderId="0" xfId="0" applyNumberFormat="1" applyBorder="1"/>
    <xf numFmtId="165" fontId="0" fillId="0" borderId="5" xfId="0" applyNumberFormat="1" applyBorder="1"/>
    <xf numFmtId="165" fontId="0" fillId="0" borderId="0" xfId="0" applyNumberFormat="1"/>
    <xf numFmtId="165" fontId="5" fillId="0" borderId="4" xfId="4" applyNumberFormat="1" applyBorder="1" applyAlignment="1"/>
    <xf numFmtId="165" fontId="5" fillId="0" borderId="5" xfId="4" applyNumberFormat="1" applyFill="1" applyBorder="1" applyAlignment="1"/>
    <xf numFmtId="165" fontId="5" fillId="5" borderId="4" xfId="4" applyNumberFormat="1" applyFill="1" applyBorder="1" applyAlignment="1"/>
    <xf numFmtId="165" fontId="5" fillId="5" borderId="0" xfId="4" applyNumberFormat="1" applyFill="1" applyBorder="1" applyAlignment="1"/>
    <xf numFmtId="165" fontId="5" fillId="5" borderId="5" xfId="4" applyNumberFormat="1" applyFill="1" applyBorder="1" applyAlignment="1"/>
    <xf numFmtId="165" fontId="5" fillId="5" borderId="6" xfId="4" applyNumberFormat="1" applyFill="1" applyBorder="1" applyAlignment="1"/>
    <xf numFmtId="165" fontId="5" fillId="5" borderId="1" xfId="4" applyNumberFormat="1" applyFill="1" applyBorder="1" applyAlignment="1"/>
    <xf numFmtId="165" fontId="5" fillId="5" borderId="9" xfId="4" applyNumberFormat="1" applyFill="1" applyBorder="1" applyAlignment="1"/>
    <xf numFmtId="0" fontId="9" fillId="0" borderId="0" xfId="0" applyFont="1"/>
    <xf numFmtId="164" fontId="0" fillId="6" borderId="17" xfId="1" applyFont="1" applyFill="1" applyBorder="1"/>
    <xf numFmtId="164" fontId="0" fillId="6" borderId="18" xfId="1" applyFont="1" applyFill="1" applyBorder="1"/>
    <xf numFmtId="164" fontId="0" fillId="3" borderId="17" xfId="1" applyFont="1" applyFill="1" applyBorder="1"/>
    <xf numFmtId="164" fontId="0" fillId="3" borderId="18" xfId="1" applyFont="1" applyFill="1" applyBorder="1"/>
    <xf numFmtId="0" fontId="0" fillId="3" borderId="7" xfId="0" applyFill="1" applyBorder="1"/>
    <xf numFmtId="10" fontId="1" fillId="0" borderId="9" xfId="0" applyNumberFormat="1" applyFont="1" applyFill="1" applyBorder="1"/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5">
    <cellStyle name="Comma" xfId="1" builtinId="3"/>
    <cellStyle name="Komma 2" xfId="2"/>
    <cellStyle name="Normal" xfId="0" builtinId="0"/>
    <cellStyle name="Procent 2" xfId="3"/>
    <cellStyle name="Standaard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T70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2" sqref="A2"/>
      <selection pane="bottomRight" activeCell="Q11" sqref="Q11"/>
    </sheetView>
  </sheetViews>
  <sheetFormatPr defaultRowHeight="12.75" x14ac:dyDescent="0.2"/>
  <cols>
    <col min="1" max="1" width="7.28515625" bestFit="1" customWidth="1"/>
    <col min="2" max="2" width="8.42578125" bestFit="1" customWidth="1"/>
    <col min="3" max="3" width="11.28515625" bestFit="1" customWidth="1"/>
    <col min="4" max="7" width="12" bestFit="1" customWidth="1"/>
    <col min="8" max="8" width="12.28515625" bestFit="1" customWidth="1"/>
    <col min="9" max="9" width="11.42578125" bestFit="1" customWidth="1"/>
    <col min="10" max="10" width="8.140625" bestFit="1" customWidth="1"/>
    <col min="11" max="13" width="13.42578125" style="4" customWidth="1"/>
    <col min="14" max="20" width="13.42578125" customWidth="1"/>
  </cols>
  <sheetData>
    <row r="1" spans="1:20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2">
      <c r="K2" s="118" t="s">
        <v>49</v>
      </c>
      <c r="L2" s="118"/>
      <c r="M2" s="118"/>
      <c r="N2" s="118"/>
      <c r="O2" s="118"/>
      <c r="P2" s="118"/>
      <c r="Q2" s="118"/>
      <c r="R2" s="118"/>
      <c r="S2" s="118"/>
      <c r="T2" s="118"/>
    </row>
    <row r="3" spans="1:20" ht="38.25" x14ac:dyDescent="0.2">
      <c r="A3" t="s">
        <v>9</v>
      </c>
      <c r="B3" t="s">
        <v>0</v>
      </c>
      <c r="C3" s="14" t="s">
        <v>20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70</v>
      </c>
      <c r="J3" s="22" t="s">
        <v>74</v>
      </c>
      <c r="K3" s="24" t="s">
        <v>41</v>
      </c>
      <c r="L3" s="24" t="s">
        <v>42</v>
      </c>
      <c r="M3" s="24" t="s">
        <v>50</v>
      </c>
      <c r="N3" s="24" t="s">
        <v>43</v>
      </c>
      <c r="O3" s="24" t="s">
        <v>44</v>
      </c>
      <c r="P3" s="24" t="s">
        <v>67</v>
      </c>
      <c r="Q3" s="24" t="s">
        <v>85</v>
      </c>
      <c r="R3" s="24" t="s">
        <v>51</v>
      </c>
      <c r="S3" s="24" t="s">
        <v>52</v>
      </c>
      <c r="T3" s="24" t="s">
        <v>53</v>
      </c>
    </row>
    <row r="4" spans="1:20" x14ac:dyDescent="0.2">
      <c r="A4">
        <v>1</v>
      </c>
      <c r="B4" s="22" t="s">
        <v>35</v>
      </c>
      <c r="C4" t="s">
        <v>21</v>
      </c>
      <c r="D4" s="2">
        <v>29388</v>
      </c>
      <c r="E4" s="2">
        <f t="shared" ref="E4:E9" si="0">DATE(YEAR(D4)+67,MONTH(D4),1)</f>
        <v>53844</v>
      </c>
      <c r="F4" s="2">
        <v>41228</v>
      </c>
      <c r="G4" s="2">
        <v>41806</v>
      </c>
      <c r="H4" s="2">
        <v>41883</v>
      </c>
      <c r="I4" s="22" t="s">
        <v>71</v>
      </c>
      <c r="J4" s="22" t="s">
        <v>75</v>
      </c>
      <c r="K4" s="4">
        <v>1000</v>
      </c>
      <c r="L4" s="4">
        <v>1000</v>
      </c>
      <c r="M4" s="4">
        <v>100</v>
      </c>
      <c r="N4" s="4">
        <v>200</v>
      </c>
      <c r="O4" s="4">
        <v>100</v>
      </c>
      <c r="P4">
        <v>300</v>
      </c>
      <c r="Q4" s="4">
        <v>150</v>
      </c>
      <c r="R4" s="4">
        <v>10000</v>
      </c>
      <c r="S4" s="4">
        <v>2000</v>
      </c>
      <c r="T4" s="4">
        <v>3000</v>
      </c>
    </row>
    <row r="5" spans="1:20" x14ac:dyDescent="0.2">
      <c r="A5">
        <f>A4+1</f>
        <v>2</v>
      </c>
      <c r="B5" t="s">
        <v>30</v>
      </c>
      <c r="C5" t="s">
        <v>22</v>
      </c>
      <c r="D5" s="2">
        <v>26811</v>
      </c>
      <c r="E5" s="2">
        <f t="shared" si="0"/>
        <v>51257</v>
      </c>
      <c r="F5" s="2">
        <v>41228</v>
      </c>
      <c r="G5" s="2">
        <v>41974</v>
      </c>
      <c r="H5" s="37">
        <v>42040</v>
      </c>
      <c r="I5" s="22" t="s">
        <v>72</v>
      </c>
      <c r="K5" s="4">
        <v>300</v>
      </c>
      <c r="L5" s="4">
        <v>540</v>
      </c>
      <c r="N5" s="4">
        <f>0.7*K5</f>
        <v>210</v>
      </c>
      <c r="O5" s="4">
        <v>0</v>
      </c>
      <c r="P5">
        <v>250</v>
      </c>
    </row>
    <row r="6" spans="1:20" x14ac:dyDescent="0.2">
      <c r="A6">
        <f>A5+1</f>
        <v>3</v>
      </c>
      <c r="B6" t="s">
        <v>35</v>
      </c>
      <c r="C6" t="s">
        <v>21</v>
      </c>
      <c r="D6" s="2">
        <v>26515</v>
      </c>
      <c r="E6" s="2">
        <f t="shared" si="0"/>
        <v>50983</v>
      </c>
      <c r="F6" s="2">
        <v>41007</v>
      </c>
      <c r="G6" s="2">
        <v>41737</v>
      </c>
      <c r="H6" s="37">
        <v>41744</v>
      </c>
      <c r="I6" s="22" t="s">
        <v>73</v>
      </c>
      <c r="K6" s="4">
        <v>300</v>
      </c>
      <c r="L6" s="4">
        <f>+L5*2</f>
        <v>1080</v>
      </c>
      <c r="N6" s="4">
        <v>150</v>
      </c>
      <c r="O6" s="4">
        <v>60</v>
      </c>
      <c r="P6">
        <v>400</v>
      </c>
      <c r="Q6" s="4">
        <v>200</v>
      </c>
    </row>
    <row r="7" spans="1:20" x14ac:dyDescent="0.2">
      <c r="A7">
        <f>A6+1</f>
        <v>4</v>
      </c>
      <c r="B7" s="22" t="s">
        <v>10</v>
      </c>
      <c r="C7" t="s">
        <v>21</v>
      </c>
      <c r="D7" s="2">
        <v>28962</v>
      </c>
      <c r="E7" s="2">
        <f t="shared" si="0"/>
        <v>53418</v>
      </c>
      <c r="F7" s="2">
        <v>41274</v>
      </c>
      <c r="G7" s="2">
        <v>41670</v>
      </c>
      <c r="H7" s="37">
        <v>41744</v>
      </c>
      <c r="I7" s="22" t="s">
        <v>72</v>
      </c>
      <c r="K7" s="4">
        <v>300</v>
      </c>
      <c r="L7" s="4">
        <f>+L6*2</f>
        <v>2160</v>
      </c>
      <c r="N7" s="4">
        <f>0.7*K7</f>
        <v>210</v>
      </c>
      <c r="P7">
        <v>300</v>
      </c>
    </row>
    <row r="8" spans="1:20" x14ac:dyDescent="0.2">
      <c r="A8">
        <f>A7+1</f>
        <v>5</v>
      </c>
      <c r="B8" s="22" t="s">
        <v>37</v>
      </c>
      <c r="C8" s="22" t="s">
        <v>21</v>
      </c>
      <c r="D8" s="2">
        <v>23173</v>
      </c>
      <c r="E8" s="2">
        <f t="shared" si="0"/>
        <v>47635</v>
      </c>
      <c r="F8" s="2">
        <v>40268</v>
      </c>
      <c r="G8" s="37">
        <v>41943</v>
      </c>
      <c r="H8" s="2">
        <v>42094</v>
      </c>
      <c r="I8" s="22" t="s">
        <v>73</v>
      </c>
      <c r="K8" s="4">
        <v>0</v>
      </c>
      <c r="L8" s="4">
        <v>0</v>
      </c>
      <c r="N8" s="4">
        <v>0</v>
      </c>
      <c r="O8" s="4">
        <v>0</v>
      </c>
    </row>
    <row r="9" spans="1:20" x14ac:dyDescent="0.2">
      <c r="A9">
        <f>A8+1</f>
        <v>6</v>
      </c>
      <c r="B9" s="22" t="s">
        <v>35</v>
      </c>
      <c r="C9" t="s">
        <v>21</v>
      </c>
      <c r="D9" s="2">
        <v>29388</v>
      </c>
      <c r="E9" s="2">
        <f t="shared" si="0"/>
        <v>53844</v>
      </c>
      <c r="F9" s="2">
        <v>41228</v>
      </c>
      <c r="G9" s="2">
        <v>41806</v>
      </c>
      <c r="H9" s="2">
        <v>41883</v>
      </c>
      <c r="I9" s="22" t="s">
        <v>71</v>
      </c>
      <c r="J9" s="22" t="s">
        <v>75</v>
      </c>
      <c r="K9" s="4">
        <v>1000</v>
      </c>
      <c r="N9" s="4"/>
      <c r="O9" s="4">
        <v>0</v>
      </c>
      <c r="P9">
        <v>300</v>
      </c>
      <c r="Q9" s="4">
        <v>400</v>
      </c>
      <c r="R9" s="4"/>
      <c r="S9" s="4"/>
      <c r="T9" s="4"/>
    </row>
    <row r="10" spans="1:20" x14ac:dyDescent="0.2">
      <c r="A10">
        <v>7</v>
      </c>
      <c r="B10" s="22" t="s">
        <v>10</v>
      </c>
      <c r="C10" t="s">
        <v>21</v>
      </c>
      <c r="D10" s="2">
        <v>20323</v>
      </c>
      <c r="E10" s="2">
        <v>44774</v>
      </c>
      <c r="F10" s="2">
        <v>42867</v>
      </c>
      <c r="G10" s="2">
        <v>42867</v>
      </c>
      <c r="H10" s="2">
        <v>42867</v>
      </c>
      <c r="I10" s="22" t="s">
        <v>72</v>
      </c>
      <c r="J10" s="22" t="s">
        <v>86</v>
      </c>
      <c r="K10" s="4">
        <v>5480</v>
      </c>
      <c r="L10" s="4">
        <v>0</v>
      </c>
      <c r="M10" s="4">
        <v>2219.96</v>
      </c>
      <c r="N10" s="4">
        <v>645</v>
      </c>
      <c r="O10" s="4">
        <v>0</v>
      </c>
      <c r="P10" s="4">
        <v>433</v>
      </c>
      <c r="Q10" s="4">
        <v>2063</v>
      </c>
      <c r="R10" s="4">
        <v>0</v>
      </c>
      <c r="S10" s="4">
        <v>0</v>
      </c>
      <c r="T10" s="4">
        <v>0</v>
      </c>
    </row>
    <row r="11" spans="1:20" x14ac:dyDescent="0.2">
      <c r="A11">
        <v>8</v>
      </c>
      <c r="B11" s="22" t="s">
        <v>10</v>
      </c>
      <c r="C11" t="s">
        <v>21</v>
      </c>
      <c r="D11" s="2">
        <v>20323</v>
      </c>
      <c r="E11" s="2">
        <v>44774</v>
      </c>
      <c r="F11" s="2">
        <v>42867</v>
      </c>
      <c r="G11" s="2">
        <v>42867</v>
      </c>
      <c r="H11" s="2">
        <v>42867</v>
      </c>
      <c r="I11" s="22" t="s">
        <v>72</v>
      </c>
      <c r="J11" s="22" t="s">
        <v>86</v>
      </c>
      <c r="K11" s="4">
        <v>5480</v>
      </c>
      <c r="L11" s="4">
        <v>0</v>
      </c>
      <c r="M11" s="4">
        <v>2219.96</v>
      </c>
      <c r="N11" s="4">
        <v>645</v>
      </c>
      <c r="O11" s="4">
        <v>2063</v>
      </c>
      <c r="P11" s="4">
        <v>433</v>
      </c>
      <c r="Q11" s="4">
        <v>0</v>
      </c>
      <c r="R11" s="4">
        <v>0</v>
      </c>
      <c r="S11" s="4">
        <v>0</v>
      </c>
      <c r="T11" s="4">
        <v>0</v>
      </c>
    </row>
    <row r="12" spans="1:20" x14ac:dyDescent="0.2">
      <c r="A12">
        <v>9</v>
      </c>
      <c r="D12" s="2"/>
      <c r="E12" s="2"/>
      <c r="F12" s="2"/>
      <c r="G12" s="2"/>
      <c r="H12" s="2"/>
      <c r="N12" s="4"/>
    </row>
    <row r="13" spans="1:20" x14ac:dyDescent="0.2">
      <c r="A13">
        <v>10</v>
      </c>
      <c r="D13" s="2"/>
      <c r="E13" s="2"/>
      <c r="F13" s="2"/>
      <c r="G13" s="2"/>
      <c r="H13" s="2"/>
      <c r="N13" s="4"/>
    </row>
    <row r="14" spans="1:20" x14ac:dyDescent="0.2">
      <c r="A14">
        <v>11</v>
      </c>
      <c r="D14" s="2"/>
      <c r="E14" s="2"/>
      <c r="F14" s="2"/>
      <c r="G14" s="2"/>
      <c r="H14" s="2"/>
      <c r="N14" s="4"/>
    </row>
    <row r="15" spans="1:20" x14ac:dyDescent="0.2">
      <c r="A15">
        <v>12</v>
      </c>
      <c r="D15" s="2"/>
      <c r="E15" s="2"/>
      <c r="F15" s="2"/>
      <c r="G15" s="2"/>
      <c r="H15" s="2"/>
      <c r="N15" s="4"/>
    </row>
    <row r="16" spans="1:20" x14ac:dyDescent="0.2">
      <c r="A16">
        <v>13</v>
      </c>
      <c r="D16" s="2"/>
      <c r="E16" s="2"/>
      <c r="F16" s="2"/>
      <c r="G16" s="2"/>
      <c r="H16" s="2"/>
      <c r="N16" s="4"/>
    </row>
    <row r="17" spans="1:14" x14ac:dyDescent="0.2">
      <c r="A17">
        <v>14</v>
      </c>
      <c r="B17" s="16"/>
      <c r="C17" s="16"/>
      <c r="D17" s="2"/>
      <c r="E17" s="2"/>
      <c r="F17" s="2"/>
      <c r="G17" s="2"/>
      <c r="H17" s="2"/>
      <c r="N17" s="4"/>
    </row>
    <row r="18" spans="1:14" x14ac:dyDescent="0.2">
      <c r="A18">
        <v>15</v>
      </c>
      <c r="B18" s="16"/>
      <c r="C18" s="16"/>
      <c r="D18" s="2"/>
      <c r="E18" s="2"/>
      <c r="F18" s="2"/>
      <c r="G18" s="2"/>
      <c r="H18" s="2"/>
      <c r="N18" s="4"/>
    </row>
    <row r="19" spans="1:14" x14ac:dyDescent="0.2">
      <c r="A19">
        <v>16</v>
      </c>
      <c r="B19" s="16"/>
      <c r="C19" s="16"/>
      <c r="D19" s="2"/>
      <c r="E19" s="2"/>
      <c r="F19" s="2"/>
      <c r="G19" s="2"/>
      <c r="H19" s="2"/>
      <c r="N19" s="4"/>
    </row>
    <row r="20" spans="1:14" x14ac:dyDescent="0.2">
      <c r="A20">
        <v>17</v>
      </c>
      <c r="B20" s="16"/>
      <c r="C20" s="16"/>
      <c r="D20" s="2"/>
      <c r="E20" s="2"/>
      <c r="F20" s="2"/>
      <c r="G20" s="2"/>
      <c r="H20" s="2"/>
      <c r="N20" s="4"/>
    </row>
    <row r="21" spans="1:14" x14ac:dyDescent="0.2">
      <c r="A21">
        <v>18</v>
      </c>
      <c r="B21" s="16"/>
      <c r="C21" s="16"/>
      <c r="D21" s="2"/>
      <c r="E21" s="2"/>
      <c r="F21" s="2"/>
      <c r="G21" s="2"/>
      <c r="H21" s="2"/>
      <c r="N21" s="4"/>
    </row>
    <row r="22" spans="1:14" x14ac:dyDescent="0.2">
      <c r="A22">
        <v>19</v>
      </c>
      <c r="D22" s="2"/>
      <c r="E22" s="2"/>
      <c r="F22" s="2"/>
      <c r="G22" s="2"/>
      <c r="H22" s="2"/>
      <c r="N22" s="4"/>
    </row>
    <row r="23" spans="1:14" x14ac:dyDescent="0.2">
      <c r="A23">
        <v>20</v>
      </c>
      <c r="N23" s="4"/>
    </row>
    <row r="24" spans="1:14" x14ac:dyDescent="0.2">
      <c r="A24">
        <v>21</v>
      </c>
      <c r="N24" s="4"/>
    </row>
    <row r="25" spans="1:14" x14ac:dyDescent="0.2">
      <c r="A25">
        <v>22</v>
      </c>
      <c r="N25" s="4"/>
    </row>
    <row r="26" spans="1:14" x14ac:dyDescent="0.2">
      <c r="A26">
        <v>23</v>
      </c>
      <c r="N26" s="4"/>
    </row>
    <row r="27" spans="1:14" x14ac:dyDescent="0.2">
      <c r="A27">
        <v>24</v>
      </c>
      <c r="N27" s="4"/>
    </row>
    <row r="28" spans="1:14" x14ac:dyDescent="0.2">
      <c r="A28">
        <v>25</v>
      </c>
      <c r="N28" s="4"/>
    </row>
    <row r="29" spans="1:14" x14ac:dyDescent="0.2">
      <c r="A29">
        <v>26</v>
      </c>
      <c r="N29" s="4"/>
    </row>
    <row r="30" spans="1:14" x14ac:dyDescent="0.2">
      <c r="A30">
        <v>27</v>
      </c>
      <c r="N30" s="4"/>
    </row>
    <row r="31" spans="1:14" x14ac:dyDescent="0.2">
      <c r="A31">
        <v>28</v>
      </c>
      <c r="N31" s="4"/>
    </row>
    <row r="32" spans="1:14" x14ac:dyDescent="0.2">
      <c r="A32">
        <v>29</v>
      </c>
      <c r="N32" s="4"/>
    </row>
    <row r="33" spans="1:14" x14ac:dyDescent="0.2">
      <c r="A33">
        <v>30</v>
      </c>
      <c r="N33" s="4"/>
    </row>
    <row r="34" spans="1:14" x14ac:dyDescent="0.2">
      <c r="A34">
        <v>31</v>
      </c>
      <c r="N34" s="4"/>
    </row>
    <row r="35" spans="1:14" x14ac:dyDescent="0.2">
      <c r="A35">
        <v>32</v>
      </c>
      <c r="N35" s="4"/>
    </row>
    <row r="36" spans="1:14" x14ac:dyDescent="0.2">
      <c r="A36">
        <v>33</v>
      </c>
      <c r="N36" s="4"/>
    </row>
    <row r="37" spans="1:14" x14ac:dyDescent="0.2">
      <c r="A37">
        <v>34</v>
      </c>
      <c r="N37" s="4"/>
    </row>
    <row r="38" spans="1:14" x14ac:dyDescent="0.2">
      <c r="A38">
        <v>35</v>
      </c>
      <c r="N38" s="4"/>
    </row>
    <row r="39" spans="1:14" x14ac:dyDescent="0.2">
      <c r="A39">
        <v>36</v>
      </c>
      <c r="N39" s="4"/>
    </row>
    <row r="40" spans="1:14" x14ac:dyDescent="0.2">
      <c r="A40">
        <v>37</v>
      </c>
      <c r="N40" s="4"/>
    </row>
    <row r="41" spans="1:14" x14ac:dyDescent="0.2">
      <c r="A41">
        <v>38</v>
      </c>
      <c r="N41" s="4"/>
    </row>
    <row r="42" spans="1:14" x14ac:dyDescent="0.2">
      <c r="A42">
        <v>39</v>
      </c>
      <c r="N42" s="4"/>
    </row>
    <row r="43" spans="1:14" x14ac:dyDescent="0.2">
      <c r="A43">
        <v>40</v>
      </c>
      <c r="N43" s="4"/>
    </row>
    <row r="44" spans="1:14" x14ac:dyDescent="0.2">
      <c r="A44">
        <v>41</v>
      </c>
      <c r="N44" s="4"/>
    </row>
    <row r="45" spans="1:14" x14ac:dyDescent="0.2">
      <c r="A45">
        <v>42</v>
      </c>
      <c r="N45" s="4"/>
    </row>
    <row r="46" spans="1:14" x14ac:dyDescent="0.2">
      <c r="A46">
        <v>43</v>
      </c>
      <c r="N46" s="4"/>
    </row>
    <row r="47" spans="1:14" x14ac:dyDescent="0.2">
      <c r="A47">
        <v>44</v>
      </c>
      <c r="N47" s="4"/>
    </row>
    <row r="48" spans="1:14" x14ac:dyDescent="0.2">
      <c r="A48">
        <v>45</v>
      </c>
      <c r="N48" s="4"/>
    </row>
    <row r="49" spans="1:14" x14ac:dyDescent="0.2">
      <c r="A49">
        <v>46</v>
      </c>
      <c r="N49" s="4"/>
    </row>
    <row r="50" spans="1:14" x14ac:dyDescent="0.2">
      <c r="A50">
        <v>47</v>
      </c>
      <c r="N50" s="4"/>
    </row>
    <row r="51" spans="1:14" x14ac:dyDescent="0.2">
      <c r="A51">
        <v>48</v>
      </c>
      <c r="N51" s="4"/>
    </row>
    <row r="52" spans="1:14" x14ac:dyDescent="0.2">
      <c r="A52">
        <v>49</v>
      </c>
      <c r="N52" s="4"/>
    </row>
    <row r="53" spans="1:14" x14ac:dyDescent="0.2">
      <c r="A53">
        <v>50</v>
      </c>
      <c r="N53" s="4"/>
    </row>
    <row r="54" spans="1:14" x14ac:dyDescent="0.2">
      <c r="A54">
        <v>51</v>
      </c>
      <c r="N54" s="4"/>
    </row>
    <row r="55" spans="1:14" x14ac:dyDescent="0.2">
      <c r="A55">
        <v>52</v>
      </c>
      <c r="N55" s="4"/>
    </row>
    <row r="56" spans="1:14" x14ac:dyDescent="0.2">
      <c r="A56">
        <v>53</v>
      </c>
      <c r="N56" s="4"/>
    </row>
    <row r="57" spans="1:14" x14ac:dyDescent="0.2">
      <c r="A57">
        <v>54</v>
      </c>
      <c r="N57" s="4"/>
    </row>
    <row r="58" spans="1:14" x14ac:dyDescent="0.2">
      <c r="A58">
        <v>55</v>
      </c>
      <c r="N58" s="4"/>
    </row>
    <row r="59" spans="1:14" x14ac:dyDescent="0.2">
      <c r="A59">
        <v>56</v>
      </c>
      <c r="N59" s="4"/>
    </row>
    <row r="60" spans="1:14" x14ac:dyDescent="0.2">
      <c r="A60">
        <v>57</v>
      </c>
      <c r="N60" s="4"/>
    </row>
    <row r="61" spans="1:14" x14ac:dyDescent="0.2">
      <c r="A61">
        <v>58</v>
      </c>
      <c r="N61" s="4"/>
    </row>
    <row r="62" spans="1:14" x14ac:dyDescent="0.2">
      <c r="A62">
        <v>59</v>
      </c>
      <c r="N62" s="4"/>
    </row>
    <row r="63" spans="1:14" x14ac:dyDescent="0.2">
      <c r="A63">
        <v>60</v>
      </c>
      <c r="N63" s="4"/>
    </row>
    <row r="64" spans="1:14" x14ac:dyDescent="0.2">
      <c r="A64">
        <v>61</v>
      </c>
      <c r="N64" s="4"/>
    </row>
    <row r="65" spans="1:14" x14ac:dyDescent="0.2">
      <c r="A65">
        <v>62</v>
      </c>
      <c r="N65" s="4"/>
    </row>
    <row r="66" spans="1:14" x14ac:dyDescent="0.2">
      <c r="A66">
        <v>63</v>
      </c>
      <c r="N66" s="4"/>
    </row>
    <row r="67" spans="1:14" x14ac:dyDescent="0.2">
      <c r="A67">
        <v>64</v>
      </c>
      <c r="N67" s="4"/>
    </row>
    <row r="68" spans="1:14" x14ac:dyDescent="0.2">
      <c r="A68">
        <v>65</v>
      </c>
      <c r="N68" s="4"/>
    </row>
    <row r="69" spans="1:14" x14ac:dyDescent="0.2">
      <c r="A69">
        <v>66</v>
      </c>
      <c r="N69" s="4"/>
    </row>
    <row r="70" spans="1:14" x14ac:dyDescent="0.2">
      <c r="A70">
        <v>67</v>
      </c>
      <c r="N70" s="4"/>
    </row>
  </sheetData>
  <mergeCells count="1">
    <mergeCell ref="K2:T2"/>
  </mergeCells>
  <phoneticPr fontId="3" type="noConversion"/>
  <dataValidations xWindow="411" yWindow="319" count="1">
    <dataValidation type="list" allowBlank="1" showInputMessage="1" showErrorMessage="1" sqref="C4:C7 C9:C11">
      <formula1>"gehuwd,niet gehuwd"</formula1>
    </dataValidation>
  </dataValidations>
  <pageMargins left="0.15748031496062992" right="0.15748031496062992" top="0.98425196850393704" bottom="0.98425196850393704" header="0.51181102362204722" footer="0.51181102362204722"/>
  <pageSetup scale="5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L58"/>
  <sheetViews>
    <sheetView zoomScale="80" zoomScaleNormal="80" workbookViewId="0">
      <selection activeCell="C1" sqref="C1"/>
    </sheetView>
  </sheetViews>
  <sheetFormatPr defaultRowHeight="12.75" x14ac:dyDescent="0.2"/>
  <cols>
    <col min="1" max="1" width="47.7109375" bestFit="1" customWidth="1"/>
    <col min="2" max="2" width="8.140625" customWidth="1"/>
    <col min="3" max="3" width="13.7109375" bestFit="1" customWidth="1"/>
    <col min="4" max="4" width="18.42578125" customWidth="1"/>
    <col min="5" max="5" width="12.28515625" customWidth="1"/>
    <col min="6" max="6" width="22.5703125" bestFit="1" customWidth="1"/>
    <col min="7" max="7" width="11.7109375" bestFit="1" customWidth="1"/>
    <col min="8" max="8" width="10.28515625" bestFit="1" customWidth="1"/>
    <col min="9" max="9" width="12.28515625" bestFit="1" customWidth="1"/>
    <col min="11" max="11" width="9.28515625" bestFit="1" customWidth="1"/>
    <col min="12" max="12" width="13.7109375" customWidth="1"/>
  </cols>
  <sheetData>
    <row r="1" spans="1:12" x14ac:dyDescent="0.2">
      <c r="A1" t="s">
        <v>9</v>
      </c>
      <c r="B1" t="s">
        <v>19</v>
      </c>
      <c r="C1" s="17">
        <v>7</v>
      </c>
      <c r="G1" s="1"/>
      <c r="K1" t="s">
        <v>8</v>
      </c>
      <c r="L1" t="s">
        <v>32</v>
      </c>
    </row>
    <row r="2" spans="1:12" x14ac:dyDescent="0.2">
      <c r="A2" t="s">
        <v>0</v>
      </c>
      <c r="B2">
        <v>2</v>
      </c>
      <c r="C2" s="9" t="str">
        <f>VLOOKUP(invoernr,invoer,$B2)</f>
        <v>M</v>
      </c>
      <c r="J2" s="25"/>
      <c r="K2" s="56"/>
    </row>
    <row r="3" spans="1:12" x14ac:dyDescent="0.2">
      <c r="A3" t="s">
        <v>23</v>
      </c>
      <c r="B3">
        <v>3</v>
      </c>
      <c r="C3" s="9" t="str">
        <f t="shared" ref="C3:C10" si="0">VLOOKUP(invoernr,invoer,$B3)</f>
        <v>gehuwd</v>
      </c>
      <c r="E3" s="51"/>
      <c r="F3" s="51"/>
      <c r="G3" s="51"/>
      <c r="J3" s="26">
        <v>2014</v>
      </c>
      <c r="K3" s="46">
        <v>1.7500000000000002E-2</v>
      </c>
    </row>
    <row r="4" spans="1:12" x14ac:dyDescent="0.2">
      <c r="A4" t="s">
        <v>1</v>
      </c>
      <c r="B4">
        <v>4</v>
      </c>
      <c r="C4" s="2">
        <f t="shared" si="0"/>
        <v>20323</v>
      </c>
      <c r="E4" s="52"/>
      <c r="F4" s="41"/>
      <c r="G4" s="51"/>
      <c r="J4" s="26">
        <v>2015</v>
      </c>
      <c r="K4" s="27">
        <v>6.7999999999999996E-3</v>
      </c>
    </row>
    <row r="5" spans="1:12" x14ac:dyDescent="0.2">
      <c r="A5" t="s">
        <v>4</v>
      </c>
      <c r="B5">
        <v>5</v>
      </c>
      <c r="C5" s="2">
        <f t="shared" si="0"/>
        <v>44774</v>
      </c>
      <c r="E5" s="53"/>
      <c r="F5" s="41"/>
      <c r="G5" s="51"/>
      <c r="J5" s="26">
        <v>2016</v>
      </c>
      <c r="K5" s="28">
        <v>4.3E-3</v>
      </c>
    </row>
    <row r="6" spans="1:12" x14ac:dyDescent="0.2">
      <c r="A6" t="s">
        <v>5</v>
      </c>
      <c r="B6">
        <v>6</v>
      </c>
      <c r="C6" s="2">
        <f t="shared" si="0"/>
        <v>42867</v>
      </c>
      <c r="E6" s="52"/>
      <c r="F6" s="41"/>
      <c r="G6" s="51"/>
      <c r="J6" s="26">
        <v>2017</v>
      </c>
      <c r="K6" s="28">
        <v>0</v>
      </c>
    </row>
    <row r="7" spans="1:12" x14ac:dyDescent="0.2">
      <c r="A7" t="s">
        <v>2</v>
      </c>
      <c r="B7">
        <v>7</v>
      </c>
      <c r="C7" s="2">
        <f>VLOOKUP(invoernr,invoer,$B7)</f>
        <v>42867</v>
      </c>
      <c r="E7" s="54"/>
      <c r="F7" s="48"/>
      <c r="G7" s="48"/>
      <c r="I7" s="4"/>
      <c r="J7" s="26">
        <v>2018</v>
      </c>
      <c r="K7" s="29"/>
      <c r="L7" s="4"/>
    </row>
    <row r="8" spans="1:12" ht="13.5" thickBot="1" x14ac:dyDescent="0.25">
      <c r="A8" t="s">
        <v>7</v>
      </c>
      <c r="B8">
        <v>8</v>
      </c>
      <c r="C8" s="2">
        <f t="shared" si="0"/>
        <v>42867</v>
      </c>
      <c r="D8" s="1"/>
      <c r="E8" s="55"/>
      <c r="F8" s="48"/>
      <c r="G8" s="48"/>
      <c r="I8" s="4"/>
      <c r="J8" s="26"/>
      <c r="K8" s="29"/>
      <c r="L8" s="4"/>
    </row>
    <row r="9" spans="1:12" x14ac:dyDescent="0.2">
      <c r="A9" t="s">
        <v>70</v>
      </c>
      <c r="B9">
        <v>9</v>
      </c>
      <c r="C9" s="66" t="str">
        <f t="shared" si="0"/>
        <v>KPN</v>
      </c>
      <c r="D9" s="1"/>
      <c r="E9" s="116">
        <f>(YEAR(rekdat)-Factoren!B2)*8</f>
        <v>24</v>
      </c>
      <c r="F9" s="48"/>
      <c r="G9" s="48"/>
      <c r="I9" s="4"/>
      <c r="J9" s="26"/>
      <c r="K9" s="29"/>
      <c r="L9" s="4"/>
    </row>
    <row r="10" spans="1:12" ht="13.5" thickBot="1" x14ac:dyDescent="0.25">
      <c r="A10" s="22" t="s">
        <v>74</v>
      </c>
      <c r="B10">
        <v>10</v>
      </c>
      <c r="C10" s="66" t="str">
        <f t="shared" si="0"/>
        <v>L</v>
      </c>
      <c r="D10" s="1"/>
      <c r="E10" s="38">
        <f>1*(gesl="v")</f>
        <v>0</v>
      </c>
      <c r="F10" s="48"/>
      <c r="G10" s="48"/>
      <c r="I10" s="4"/>
      <c r="J10" s="26"/>
      <c r="K10" s="29"/>
      <c r="L10" s="4"/>
    </row>
    <row r="11" spans="1:12" x14ac:dyDescent="0.2">
      <c r="A11" s="20" t="s">
        <v>3</v>
      </c>
      <c r="B11" s="20"/>
      <c r="C11" s="50">
        <f>ROUND(YEAR(C7)-YEAR(C4)+(MONTH(C7)-MONTH(C4)+IF(DAY(rekdat)&gt;15,1,0))/12,5)</f>
        <v>61.75</v>
      </c>
      <c r="D11" s="16"/>
      <c r="E11" s="16"/>
      <c r="I11" s="4"/>
      <c r="J11" s="30"/>
      <c r="K11" s="117"/>
      <c r="L11" s="40"/>
    </row>
    <row r="12" spans="1:12" x14ac:dyDescent="0.2">
      <c r="A12" s="39"/>
      <c r="B12" s="47"/>
      <c r="I12" s="18"/>
      <c r="J12" s="19"/>
      <c r="K12" s="4"/>
      <c r="L12" s="4"/>
    </row>
    <row r="13" spans="1:12" x14ac:dyDescent="0.2">
      <c r="A13" s="10"/>
      <c r="B13" s="10"/>
      <c r="C13" s="11" t="s">
        <v>6</v>
      </c>
      <c r="D13" s="10" t="s">
        <v>29</v>
      </c>
      <c r="E13" s="34" t="s">
        <v>24</v>
      </c>
      <c r="F13" s="10" t="s">
        <v>31</v>
      </c>
      <c r="I13" s="18"/>
      <c r="J13" s="19"/>
      <c r="K13" s="4"/>
      <c r="L13" s="4"/>
    </row>
    <row r="14" spans="1:12" x14ac:dyDescent="0.2">
      <c r="A14" s="33" t="s">
        <v>48</v>
      </c>
      <c r="B14" s="31"/>
      <c r="C14" s="32"/>
      <c r="D14" s="31"/>
      <c r="E14" s="33"/>
      <c r="F14" s="31"/>
      <c r="I14" s="18"/>
      <c r="J14" s="19"/>
      <c r="K14" s="4"/>
      <c r="L14" s="4"/>
    </row>
    <row r="15" spans="1:12" x14ac:dyDescent="0.2">
      <c r="A15" s="24" t="s">
        <v>41</v>
      </c>
      <c r="B15" s="22">
        <v>11</v>
      </c>
      <c r="C15" s="4">
        <f>VLOOKUP(invoernr,invoer,$B15)</f>
        <v>5480</v>
      </c>
      <c r="D15" s="60">
        <f>ROUND(tarief($C$11,Factoren,E15+$E$9+$E$10),3)</f>
        <v>16.216999999999999</v>
      </c>
      <c r="E15" s="41">
        <f>Factoren!B1</f>
        <v>2</v>
      </c>
      <c r="F15" s="4">
        <f>ROUND(C15*D15,0)</f>
        <v>88869</v>
      </c>
      <c r="J15" s="5"/>
      <c r="K15" s="4"/>
      <c r="L15" s="4"/>
    </row>
    <row r="16" spans="1:12" x14ac:dyDescent="0.2">
      <c r="A16" s="24" t="s">
        <v>42</v>
      </c>
      <c r="B16" s="22">
        <v>12</v>
      </c>
      <c r="C16" s="4">
        <f>VLOOKUP(invoernr,invoer,$B16)</f>
        <v>0</v>
      </c>
      <c r="D16" s="60">
        <f>ROUND(tarief($C$11,Factoren,E16+$E$9+$E$10),3)</f>
        <v>16.216999999999999</v>
      </c>
      <c r="E16" s="41">
        <f>E15</f>
        <v>2</v>
      </c>
      <c r="F16" s="4">
        <f>ROUND(C16*D16,0)</f>
        <v>0</v>
      </c>
      <c r="J16" s="5"/>
      <c r="K16" s="4"/>
      <c r="L16" s="4"/>
    </row>
    <row r="17" spans="1:12" x14ac:dyDescent="0.2">
      <c r="A17" s="24" t="s">
        <v>50</v>
      </c>
      <c r="B17" s="22">
        <v>13</v>
      </c>
      <c r="C17" s="4">
        <f>VLOOKUP(invoernr,invoer,$B17)</f>
        <v>2219.96</v>
      </c>
      <c r="D17" s="60">
        <f>ROUND(tarief($C$11,Factoren,E17+$E$9+$E$10),3)</f>
        <v>4.1539999999999999</v>
      </c>
      <c r="E17" s="41">
        <f>Factoren!H1</f>
        <v>8</v>
      </c>
      <c r="F17" s="4">
        <f>ROUND(C17*D17,0)</f>
        <v>9222</v>
      </c>
      <c r="J17" s="5"/>
      <c r="K17" s="4"/>
      <c r="L17" s="4"/>
    </row>
    <row r="18" spans="1:12" x14ac:dyDescent="0.2">
      <c r="A18" s="24" t="s">
        <v>66</v>
      </c>
      <c r="B18" s="22">
        <v>14</v>
      </c>
      <c r="C18" s="4">
        <f>VLOOKUP(invoernr,invoer,$B18)</f>
        <v>645</v>
      </c>
      <c r="D18" s="60">
        <f>ROUND(tarief($C$11,Factoren,E18+$E$9+$E$10),3)</f>
        <v>5.617</v>
      </c>
      <c r="E18" s="41">
        <f>Factoren!D1</f>
        <v>4</v>
      </c>
      <c r="F18" s="4">
        <f>ROUND(C18*D18,0)</f>
        <v>3623</v>
      </c>
      <c r="J18" s="5"/>
      <c r="K18" s="4"/>
      <c r="L18" s="4"/>
    </row>
    <row r="19" spans="1:12" x14ac:dyDescent="0.2">
      <c r="A19" s="24" t="s">
        <v>65</v>
      </c>
      <c r="B19" s="22">
        <v>16</v>
      </c>
      <c r="C19" s="4">
        <f>VLOOKUP(invoernr,invoer,$B19)</f>
        <v>433</v>
      </c>
      <c r="D19" s="60">
        <f>ROUND(tarief($C$11,Factoren,E19+$E$9+$E$10),3)</f>
        <v>5.1219999999999999</v>
      </c>
      <c r="E19" s="41">
        <f>Factoren!F1</f>
        <v>6</v>
      </c>
      <c r="F19" s="62">
        <f>ROUND(C19*D19,0)</f>
        <v>2218</v>
      </c>
      <c r="J19" s="5"/>
      <c r="K19" s="4"/>
      <c r="L19" s="4"/>
    </row>
    <row r="20" spans="1:12" x14ac:dyDescent="0.2">
      <c r="C20" s="4"/>
      <c r="D20" s="8"/>
      <c r="E20" s="61"/>
      <c r="F20" s="12"/>
      <c r="I20" s="3"/>
      <c r="J20" s="3"/>
      <c r="K20" s="3"/>
    </row>
    <row r="21" spans="1:12" x14ac:dyDescent="0.2">
      <c r="A21" s="6" t="str">
        <f>"Overdrachts"&amp;TEXT("waarde (excl. onderstaande waarden)","")</f>
        <v>Overdrachtswaarde (excl. onderstaande waarden)</v>
      </c>
      <c r="B21" s="6"/>
      <c r="E21" s="59"/>
      <c r="F21" s="63">
        <f>SUM(F15:F19)</f>
        <v>103932</v>
      </c>
      <c r="I21" s="3"/>
      <c r="J21" s="3"/>
      <c r="K21" s="3"/>
    </row>
    <row r="22" spans="1:12" x14ac:dyDescent="0.2">
      <c r="E22" s="59"/>
      <c r="F22" s="41"/>
      <c r="I22" s="3"/>
      <c r="J22" s="3"/>
      <c r="K22" s="3"/>
    </row>
    <row r="23" spans="1:12" x14ac:dyDescent="0.2">
      <c r="A23" s="58" t="s">
        <v>54</v>
      </c>
      <c r="B23" s="58">
        <v>18</v>
      </c>
      <c r="C23" s="4">
        <f>VLOOKUP(invoernr,invoer,$B23)</f>
        <v>0</v>
      </c>
      <c r="D23" s="58">
        <f>IF(AND($C$9="STPS",$C$10&lt;&gt;"G"),0.9975,1)</f>
        <v>1</v>
      </c>
      <c r="E23" s="8"/>
      <c r="F23" s="4">
        <f>ROUND(C23*D23,0)</f>
        <v>0</v>
      </c>
      <c r="I23" s="3"/>
      <c r="J23" s="3"/>
      <c r="K23" s="3"/>
    </row>
    <row r="24" spans="1:12" x14ac:dyDescent="0.2">
      <c r="A24" s="58" t="s">
        <v>55</v>
      </c>
      <c r="B24" s="58">
        <v>19</v>
      </c>
      <c r="C24" s="4">
        <f>VLOOKUP(invoernr,invoer,$B24)</f>
        <v>0</v>
      </c>
      <c r="D24" s="58">
        <f>IF(AND($C$9="STPS",$C$10&lt;&gt;"G"),0.9975,1)</f>
        <v>1</v>
      </c>
      <c r="E24" s="8"/>
      <c r="F24" s="4">
        <f>ROUND(C24*D24,0)</f>
        <v>0</v>
      </c>
      <c r="I24" s="3"/>
      <c r="J24" s="3"/>
      <c r="K24" s="3"/>
    </row>
    <row r="25" spans="1:12" ht="13.5" thickBot="1" x14ac:dyDescent="0.25">
      <c r="A25" s="58" t="s">
        <v>56</v>
      </c>
      <c r="B25" s="58">
        <v>20</v>
      </c>
      <c r="C25" s="4">
        <f>VLOOKUP(invoernr,invoer,$B25)</f>
        <v>0</v>
      </c>
      <c r="D25" s="58">
        <f>IF(AND($C$9="STPS",$C$10&lt;&gt;"G"),0.9975,1)</f>
        <v>1</v>
      </c>
      <c r="E25" s="8"/>
      <c r="F25" s="64">
        <f>ROUND(C25*D25,0)</f>
        <v>0</v>
      </c>
      <c r="I25" s="3"/>
      <c r="J25" s="3"/>
      <c r="K25" s="3"/>
    </row>
    <row r="26" spans="1:12" ht="13.5" thickBot="1" x14ac:dyDescent="0.25">
      <c r="E26" s="59"/>
      <c r="I26" s="3"/>
      <c r="J26" s="3"/>
      <c r="K26" s="3"/>
    </row>
    <row r="27" spans="1:12" ht="13.5" thickBot="1" x14ac:dyDescent="0.25">
      <c r="A27" s="6" t="s">
        <v>57</v>
      </c>
      <c r="B27" s="6"/>
      <c r="C27" s="6"/>
      <c r="D27" s="6"/>
      <c r="E27" s="59"/>
      <c r="F27" s="65">
        <f>SUM(F21:F25)</f>
        <v>103932</v>
      </c>
      <c r="I27" s="3"/>
      <c r="J27" s="3"/>
      <c r="K27" s="3"/>
    </row>
    <row r="28" spans="1:12" x14ac:dyDescent="0.2">
      <c r="E28" s="59"/>
      <c r="I28" s="3"/>
      <c r="J28" s="3"/>
      <c r="K28" s="3"/>
    </row>
    <row r="29" spans="1:12" x14ac:dyDescent="0.2">
      <c r="A29" s="22" t="s">
        <v>69</v>
      </c>
      <c r="B29">
        <v>15</v>
      </c>
      <c r="C29" s="4">
        <f>VLOOKUP(invoernr,invoer,$B29)</f>
        <v>0</v>
      </c>
      <c r="D29" s="60">
        <f>ROUND(tarief($C$11,Factoren,E29+$E$9+$E$10),3)</f>
        <v>5.617</v>
      </c>
      <c r="E29" s="41">
        <f>E18</f>
        <v>4</v>
      </c>
      <c r="F29" s="4">
        <f>ROUND(C29*D29,0)</f>
        <v>0</v>
      </c>
      <c r="I29" s="3"/>
      <c r="J29" s="3"/>
      <c r="K29" s="3"/>
    </row>
    <row r="30" spans="1:12" x14ac:dyDescent="0.2">
      <c r="A30" s="22" t="s">
        <v>68</v>
      </c>
      <c r="B30">
        <v>17</v>
      </c>
      <c r="C30" s="4">
        <f>VLOOKUP(invoernr,invoer,$B30)</f>
        <v>2063</v>
      </c>
      <c r="D30" s="60">
        <f>ROUND(tarief($C$11,Factoren,E30+$E$9+$E$10),3)</f>
        <v>5.1219999999999999</v>
      </c>
      <c r="E30" s="41">
        <f>E19</f>
        <v>6</v>
      </c>
      <c r="F30" s="4">
        <f>ROUND(C30*D30,0)</f>
        <v>10567</v>
      </c>
      <c r="I30" s="3"/>
      <c r="J30" s="3"/>
      <c r="K30" s="3"/>
    </row>
    <row r="31" spans="1:12" x14ac:dyDescent="0.2">
      <c r="C31" s="4"/>
      <c r="D31" s="8"/>
      <c r="E31" s="8"/>
      <c r="F31" s="12"/>
      <c r="I31" s="3"/>
      <c r="J31" s="3"/>
      <c r="K31" s="3"/>
    </row>
    <row r="32" spans="1:12" ht="13.5" thickBot="1" x14ac:dyDescent="0.25">
      <c r="A32" s="6" t="str">
        <f>TEXT("Totaal achterblijvende ","")&amp;"(overdrachts)"&amp;TEXT("waarde","")</f>
        <v>Totaal achterblijvende (overdrachts)waarde</v>
      </c>
      <c r="B32" s="6"/>
      <c r="C32" s="4"/>
      <c r="D32" s="8"/>
      <c r="E32" s="8"/>
      <c r="F32" s="21">
        <f>SUM(F29:F30)</f>
        <v>10567</v>
      </c>
      <c r="I32" s="3"/>
      <c r="J32" s="3"/>
      <c r="K32" s="3"/>
    </row>
    <row r="33" spans="1:11" x14ac:dyDescent="0.2">
      <c r="C33" s="4"/>
      <c r="D33" s="8"/>
      <c r="E33" s="8"/>
      <c r="F33" s="12"/>
      <c r="I33" s="3"/>
      <c r="J33" s="3"/>
      <c r="K33" s="3"/>
    </row>
    <row r="34" spans="1:11" x14ac:dyDescent="0.2">
      <c r="A34" s="58" t="s">
        <v>64</v>
      </c>
      <c r="C34" s="112">
        <f>(F27+C29*D29+C30*D30)/(D15+0.7*D18)</f>
        <v>5682.6271409357341</v>
      </c>
      <c r="D34" s="8"/>
      <c r="E34" s="8"/>
      <c r="F34" s="12"/>
      <c r="G34" s="22" t="s">
        <v>87</v>
      </c>
      <c r="I34" s="3"/>
      <c r="J34" s="3"/>
      <c r="K34" s="3"/>
    </row>
    <row r="35" spans="1:11" x14ac:dyDescent="0.2">
      <c r="A35" s="67" t="s">
        <v>62</v>
      </c>
      <c r="C35" s="113">
        <f>70%*C34-C29</f>
        <v>3977.8389986550137</v>
      </c>
      <c r="D35" s="8"/>
      <c r="E35" s="8"/>
      <c r="F35" s="12"/>
      <c r="I35" s="3"/>
      <c r="J35" s="3"/>
      <c r="K35" s="3"/>
    </row>
    <row r="36" spans="1:11" x14ac:dyDescent="0.2">
      <c r="C36" s="4"/>
      <c r="D36" s="8"/>
      <c r="E36" s="8"/>
      <c r="F36" s="12"/>
      <c r="I36" s="3"/>
      <c r="J36" s="3"/>
      <c r="K36" s="3"/>
    </row>
    <row r="37" spans="1:11" x14ac:dyDescent="0.2">
      <c r="A37" s="58" t="s">
        <v>64</v>
      </c>
      <c r="B37" s="58"/>
      <c r="C37" s="114">
        <f>(F27+C29*D29+C30*D29)/(D15+0.7*D18)</f>
        <v>5733.3090640183837</v>
      </c>
      <c r="G37" s="111" t="s">
        <v>76</v>
      </c>
    </row>
    <row r="38" spans="1:11" x14ac:dyDescent="0.2">
      <c r="A38" s="67" t="s">
        <v>62</v>
      </c>
      <c r="B38" s="58"/>
      <c r="C38" s="115">
        <f>70%*C37-C29-C30</f>
        <v>1950.3163448128685</v>
      </c>
      <c r="G38" s="111" t="s">
        <v>77</v>
      </c>
    </row>
    <row r="39" spans="1:11" x14ac:dyDescent="0.2">
      <c r="C39" s="7"/>
    </row>
    <row r="40" spans="1:11" x14ac:dyDescent="0.2">
      <c r="A40" s="20" t="s">
        <v>28</v>
      </c>
      <c r="B40" s="20"/>
      <c r="C40" s="45">
        <f>ROUND((rentevergoeding!$B$8/12)*VLOOKUP(YEAR(C7),rente,2)*F21,2)</f>
        <v>0</v>
      </c>
      <c r="D40" s="13"/>
      <c r="E40" s="13"/>
      <c r="F40" s="5"/>
    </row>
    <row r="41" spans="1:11" x14ac:dyDescent="0.2">
      <c r="D41" s="13"/>
      <c r="E41" s="13"/>
    </row>
    <row r="42" spans="1:11" x14ac:dyDescent="0.2">
      <c r="A42" s="42" t="s">
        <v>36</v>
      </c>
      <c r="B42" s="43"/>
      <c r="C42" s="44">
        <f>+F27+C40</f>
        <v>103932</v>
      </c>
      <c r="E42" s="1" t="str">
        <f>IF(ABS(C37*D15+C38*D29-C42)&lt;1,"","Waarde standaard aanspraken wijkt af van overdrachtswaarde")</f>
        <v/>
      </c>
    </row>
    <row r="46" spans="1:11" x14ac:dyDescent="0.2">
      <c r="A46" s="68"/>
      <c r="B46" s="58"/>
    </row>
    <row r="47" spans="1:11" x14ac:dyDescent="0.2">
      <c r="A47" s="58"/>
      <c r="B47" s="58"/>
      <c r="C47" s="1"/>
    </row>
    <row r="48" spans="1:11" x14ac:dyDescent="0.2">
      <c r="A48" s="58"/>
      <c r="B48" s="58"/>
      <c r="C48" s="1"/>
    </row>
    <row r="49" spans="1:1" x14ac:dyDescent="0.2">
      <c r="A49" s="22"/>
    </row>
    <row r="50" spans="1:1" x14ac:dyDescent="0.2">
      <c r="A50" s="23"/>
    </row>
    <row r="51" spans="1:1" x14ac:dyDescent="0.2">
      <c r="A51" s="22"/>
    </row>
    <row r="52" spans="1:1" x14ac:dyDescent="0.2">
      <c r="A52" s="22"/>
    </row>
    <row r="53" spans="1:1" x14ac:dyDescent="0.2">
      <c r="A53" s="24"/>
    </row>
    <row r="54" spans="1:1" x14ac:dyDescent="0.2">
      <c r="A54" s="24"/>
    </row>
    <row r="55" spans="1:1" x14ac:dyDescent="0.2">
      <c r="A55" s="24"/>
    </row>
    <row r="56" spans="1:1" x14ac:dyDescent="0.2">
      <c r="A56" s="24"/>
    </row>
    <row r="57" spans="1:1" x14ac:dyDescent="0.2">
      <c r="A57" s="24"/>
    </row>
    <row r="58" spans="1:1" x14ac:dyDescent="0.2">
      <c r="A58" s="24"/>
    </row>
  </sheetData>
  <phoneticPr fontId="3" type="noConversion"/>
  <pageMargins left="0.27559055118110237" right="0.15748031496062992" top="0.28000000000000003" bottom="0.2" header="0.15748031496062992" footer="0.17"/>
  <pageSetup paperSize="9" scale="70" orientation="landscape" r:id="rId1"/>
  <headerFooter alignWithMargins="0">
    <oddHeader>&amp;L&amp;D &amp;T&amp;C&amp;F&amp;R&amp;A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O89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23" sqref="C23"/>
    </sheetView>
  </sheetViews>
  <sheetFormatPr defaultRowHeight="12.75" x14ac:dyDescent="0.2"/>
  <cols>
    <col min="1" max="1" width="8.140625" customWidth="1"/>
    <col min="2" max="3" width="7.7109375" bestFit="1" customWidth="1"/>
    <col min="4" max="9" width="6.7109375" bestFit="1" customWidth="1"/>
    <col min="10" max="11" width="7.140625" bestFit="1" customWidth="1"/>
    <col min="12" max="17" width="6.140625" bestFit="1" customWidth="1"/>
    <col min="18" max="19" width="7.140625" bestFit="1" customWidth="1"/>
    <col min="20" max="25" width="6.140625" style="71" bestFit="1" customWidth="1"/>
    <col min="26" max="27" width="7.140625" bestFit="1" customWidth="1"/>
    <col min="28" max="32" width="6.140625" bestFit="1" customWidth="1"/>
    <col min="33" max="35" width="7.140625" bestFit="1" customWidth="1"/>
    <col min="36" max="40" width="6.140625" style="71" bestFit="1" customWidth="1"/>
    <col min="41" max="41" width="6.7109375" style="71" bestFit="1" customWidth="1"/>
  </cols>
  <sheetData>
    <row r="1" spans="1:41" x14ac:dyDescent="0.2">
      <c r="A1">
        <v>1</v>
      </c>
      <c r="B1">
        <f>A1+1</f>
        <v>2</v>
      </c>
      <c r="C1">
        <f t="shared" ref="C1:AG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ref="AH1:AO1" si="1">AG1+1</f>
        <v>34</v>
      </c>
      <c r="AI1">
        <f t="shared" si="1"/>
        <v>35</v>
      </c>
      <c r="AJ1">
        <f t="shared" si="1"/>
        <v>36</v>
      </c>
      <c r="AK1">
        <f t="shared" si="1"/>
        <v>37</v>
      </c>
      <c r="AL1">
        <f t="shared" si="1"/>
        <v>38</v>
      </c>
      <c r="AM1">
        <f t="shared" si="1"/>
        <v>39</v>
      </c>
      <c r="AN1">
        <f t="shared" si="1"/>
        <v>40</v>
      </c>
      <c r="AO1">
        <f t="shared" si="1"/>
        <v>41</v>
      </c>
    </row>
    <row r="2" spans="1:41" x14ac:dyDescent="0.2">
      <c r="B2" s="120">
        <v>2014</v>
      </c>
      <c r="C2" s="120"/>
      <c r="D2" s="120"/>
      <c r="E2" s="120"/>
      <c r="F2" s="120"/>
      <c r="G2" s="120"/>
      <c r="H2" s="120"/>
      <c r="I2" s="120"/>
      <c r="J2" s="119">
        <f>B2+1</f>
        <v>2015</v>
      </c>
      <c r="K2" s="119"/>
      <c r="L2" s="119"/>
      <c r="M2" s="119"/>
      <c r="N2" s="119"/>
      <c r="O2" s="119"/>
      <c r="P2" s="119"/>
      <c r="Q2" s="119"/>
      <c r="R2" s="120">
        <f>J2+1</f>
        <v>2016</v>
      </c>
      <c r="S2" s="120"/>
      <c r="T2" s="120"/>
      <c r="U2" s="120"/>
      <c r="V2" s="120"/>
      <c r="W2" s="120"/>
      <c r="X2" s="120"/>
      <c r="Y2" s="120"/>
      <c r="Z2" s="119">
        <f>R2+1</f>
        <v>2017</v>
      </c>
      <c r="AA2" s="119"/>
      <c r="AB2" s="119"/>
      <c r="AC2" s="119"/>
      <c r="AD2" s="119"/>
      <c r="AE2" s="119"/>
      <c r="AF2" s="119"/>
      <c r="AG2" s="119"/>
      <c r="AH2" s="120">
        <f>Z2+1</f>
        <v>2018</v>
      </c>
      <c r="AI2" s="120"/>
      <c r="AJ2" s="120"/>
      <c r="AK2" s="120"/>
      <c r="AL2" s="120"/>
      <c r="AM2" s="120"/>
      <c r="AN2" s="120"/>
      <c r="AO2" s="120"/>
    </row>
    <row r="3" spans="1:41" s="77" customFormat="1" ht="83.25" x14ac:dyDescent="0.2">
      <c r="B3" s="93" t="s">
        <v>38</v>
      </c>
      <c r="C3" s="94" t="str">
        <f>B3</f>
        <v>OP67</v>
      </c>
      <c r="D3" s="94" t="s">
        <v>82</v>
      </c>
      <c r="E3" s="94" t="str">
        <f>D3</f>
        <v>NP uitruilbaar</v>
      </c>
      <c r="F3" s="94" t="s">
        <v>83</v>
      </c>
      <c r="G3" s="94" t="str">
        <f>F3</f>
        <v>NP niet uitruilbaar</v>
      </c>
      <c r="H3" s="94" t="s">
        <v>84</v>
      </c>
      <c r="I3" s="94" t="str">
        <f>H3</f>
        <v>OPO 67</v>
      </c>
      <c r="J3" s="78" t="str">
        <f>B3</f>
        <v>OP67</v>
      </c>
      <c r="K3" s="79" t="str">
        <f t="shared" ref="K3:AG4" si="2">C3</f>
        <v>OP67</v>
      </c>
      <c r="L3" s="79" t="str">
        <f t="shared" si="2"/>
        <v>NP uitruilbaar</v>
      </c>
      <c r="M3" s="79" t="str">
        <f t="shared" si="2"/>
        <v>NP uitruilbaar</v>
      </c>
      <c r="N3" s="79" t="str">
        <f t="shared" si="2"/>
        <v>NP niet uitruilbaar</v>
      </c>
      <c r="O3" s="79" t="str">
        <f t="shared" si="2"/>
        <v>NP niet uitruilbaar</v>
      </c>
      <c r="P3" s="79" t="str">
        <f t="shared" si="2"/>
        <v>OPO 67</v>
      </c>
      <c r="Q3" s="80" t="str">
        <f t="shared" si="2"/>
        <v>OPO 67</v>
      </c>
      <c r="R3" s="78" t="str">
        <f t="shared" si="2"/>
        <v>OP67</v>
      </c>
      <c r="S3" s="79" t="str">
        <f t="shared" si="2"/>
        <v>OP67</v>
      </c>
      <c r="T3" s="79" t="str">
        <f t="shared" si="2"/>
        <v>NP uitruilbaar</v>
      </c>
      <c r="U3" s="79" t="str">
        <f t="shared" si="2"/>
        <v>NP uitruilbaar</v>
      </c>
      <c r="V3" s="79" t="str">
        <f t="shared" si="2"/>
        <v>NP niet uitruilbaar</v>
      </c>
      <c r="W3" s="79" t="str">
        <f t="shared" si="2"/>
        <v>NP niet uitruilbaar</v>
      </c>
      <c r="X3" s="79" t="str">
        <f t="shared" si="2"/>
        <v>OPO 67</v>
      </c>
      <c r="Y3" s="80" t="str">
        <f t="shared" si="2"/>
        <v>OPO 67</v>
      </c>
      <c r="Z3" s="79" t="str">
        <f t="shared" si="2"/>
        <v>OP67</v>
      </c>
      <c r="AA3" s="79" t="str">
        <f t="shared" si="2"/>
        <v>OP67</v>
      </c>
      <c r="AB3" s="79" t="str">
        <f t="shared" si="2"/>
        <v>NP uitruilbaar</v>
      </c>
      <c r="AC3" s="79" t="str">
        <f t="shared" si="2"/>
        <v>NP uitruilbaar</v>
      </c>
      <c r="AD3" s="79" t="str">
        <f t="shared" si="2"/>
        <v>NP niet uitruilbaar</v>
      </c>
      <c r="AE3" s="79" t="str">
        <f t="shared" si="2"/>
        <v>NP niet uitruilbaar</v>
      </c>
      <c r="AF3" s="79" t="str">
        <f t="shared" si="2"/>
        <v>OPO 67</v>
      </c>
      <c r="AG3" s="80" t="str">
        <f t="shared" si="2"/>
        <v>OPO 67</v>
      </c>
      <c r="AH3" s="78" t="str">
        <f t="shared" ref="AH3:AH4" si="3">Z3</f>
        <v>OP67</v>
      </c>
      <c r="AI3" s="79" t="str">
        <f t="shared" ref="AI3:AI4" si="4">AA3</f>
        <v>OP67</v>
      </c>
      <c r="AJ3" s="79" t="str">
        <f t="shared" ref="AJ3:AJ5" si="5">AB3</f>
        <v>NP uitruilbaar</v>
      </c>
      <c r="AK3" s="79" t="str">
        <f t="shared" ref="AK3:AK5" si="6">AC3</f>
        <v>NP uitruilbaar</v>
      </c>
      <c r="AL3" s="79" t="str">
        <f t="shared" ref="AL3:AL5" si="7">AD3</f>
        <v>NP niet uitruilbaar</v>
      </c>
      <c r="AM3" s="79" t="str">
        <f t="shared" ref="AM3:AM5" si="8">AE3</f>
        <v>NP niet uitruilbaar</v>
      </c>
      <c r="AN3" s="79" t="str">
        <f t="shared" ref="AN3:AN5" si="9">AF3</f>
        <v>OPO 67</v>
      </c>
      <c r="AO3" s="80" t="str">
        <f t="shared" ref="AO3:AO4" si="10">AG3</f>
        <v>OPO 67</v>
      </c>
    </row>
    <row r="4" spans="1:41" x14ac:dyDescent="0.2">
      <c r="A4" s="74" t="s">
        <v>81</v>
      </c>
      <c r="B4" s="95" t="s">
        <v>10</v>
      </c>
      <c r="C4" s="96" t="s">
        <v>35</v>
      </c>
      <c r="D4" s="96" t="s">
        <v>10</v>
      </c>
      <c r="E4" s="96" t="s">
        <v>35</v>
      </c>
      <c r="F4" s="96" t="s">
        <v>10</v>
      </c>
      <c r="G4" s="96" t="s">
        <v>35</v>
      </c>
      <c r="H4" s="96" t="s">
        <v>10</v>
      </c>
      <c r="I4" s="96" t="s">
        <v>35</v>
      </c>
      <c r="J4" s="81" t="str">
        <f>B4</f>
        <v>M</v>
      </c>
      <c r="K4" s="82" t="str">
        <f t="shared" si="2"/>
        <v>V</v>
      </c>
      <c r="L4" s="82" t="str">
        <f t="shared" si="2"/>
        <v>M</v>
      </c>
      <c r="M4" s="82" t="str">
        <f t="shared" si="2"/>
        <v>V</v>
      </c>
      <c r="N4" s="82" t="str">
        <f t="shared" si="2"/>
        <v>M</v>
      </c>
      <c r="O4" s="82" t="str">
        <f t="shared" si="2"/>
        <v>V</v>
      </c>
      <c r="P4" s="82" t="str">
        <f t="shared" si="2"/>
        <v>M</v>
      </c>
      <c r="Q4" s="83" t="str">
        <f t="shared" si="2"/>
        <v>V</v>
      </c>
      <c r="R4" s="81" t="str">
        <f t="shared" si="2"/>
        <v>M</v>
      </c>
      <c r="S4" s="82" t="str">
        <f t="shared" si="2"/>
        <v>V</v>
      </c>
      <c r="T4" s="82" t="str">
        <f t="shared" si="2"/>
        <v>M</v>
      </c>
      <c r="U4" s="82" t="str">
        <f t="shared" si="2"/>
        <v>V</v>
      </c>
      <c r="V4" s="82" t="str">
        <f t="shared" si="2"/>
        <v>M</v>
      </c>
      <c r="W4" s="82" t="str">
        <f t="shared" si="2"/>
        <v>V</v>
      </c>
      <c r="X4" s="82" t="str">
        <f t="shared" si="2"/>
        <v>M</v>
      </c>
      <c r="Y4" s="83" t="str">
        <f t="shared" si="2"/>
        <v>V</v>
      </c>
      <c r="Z4" s="82" t="str">
        <f t="shared" si="2"/>
        <v>M</v>
      </c>
      <c r="AA4" s="82" t="str">
        <f t="shared" si="2"/>
        <v>V</v>
      </c>
      <c r="AB4" s="82" t="str">
        <f t="shared" si="2"/>
        <v>M</v>
      </c>
      <c r="AC4" s="82" t="str">
        <f t="shared" si="2"/>
        <v>V</v>
      </c>
      <c r="AD4" s="82" t="str">
        <f t="shared" si="2"/>
        <v>M</v>
      </c>
      <c r="AE4" s="82" t="str">
        <f t="shared" si="2"/>
        <v>V</v>
      </c>
      <c r="AF4" s="82" t="str">
        <f t="shared" si="2"/>
        <v>M</v>
      </c>
      <c r="AG4" s="83" t="str">
        <f t="shared" si="2"/>
        <v>V</v>
      </c>
      <c r="AH4" s="81" t="str">
        <f t="shared" si="3"/>
        <v>M</v>
      </c>
      <c r="AI4" s="82" t="str">
        <f t="shared" si="4"/>
        <v>V</v>
      </c>
      <c r="AJ4" s="82" t="str">
        <f t="shared" si="5"/>
        <v>M</v>
      </c>
      <c r="AK4" s="82" t="str">
        <f t="shared" si="6"/>
        <v>V</v>
      </c>
      <c r="AL4" s="82" t="str">
        <f t="shared" si="7"/>
        <v>M</v>
      </c>
      <c r="AM4" s="82" t="str">
        <f t="shared" si="8"/>
        <v>V</v>
      </c>
      <c r="AN4" s="82" t="str">
        <f t="shared" si="9"/>
        <v>M</v>
      </c>
      <c r="AO4" s="83" t="str">
        <f t="shared" si="10"/>
        <v>V</v>
      </c>
    </row>
    <row r="5" spans="1:41" x14ac:dyDescent="0.2">
      <c r="A5" s="75">
        <v>16</v>
      </c>
      <c r="B5" s="57">
        <v>3.2290000000000001</v>
      </c>
      <c r="C5" s="57">
        <v>3.5219999999999998</v>
      </c>
      <c r="D5" s="97">
        <v>1.4159999999999999</v>
      </c>
      <c r="E5" s="97">
        <v>0.72</v>
      </c>
      <c r="F5" s="97">
        <v>1.3320000000000001</v>
      </c>
      <c r="G5" s="97">
        <v>0.61</v>
      </c>
      <c r="H5" s="97">
        <v>0.755</v>
      </c>
      <c r="I5" s="97">
        <v>1.879</v>
      </c>
      <c r="J5" s="84">
        <v>4.7</v>
      </c>
      <c r="K5" s="70">
        <v>5.1440000000000001</v>
      </c>
      <c r="L5" s="70">
        <v>2.0779999999999998</v>
      </c>
      <c r="M5" s="70">
        <v>1.0229999999999999</v>
      </c>
      <c r="N5" s="70">
        <v>1.9490000000000001</v>
      </c>
      <c r="O5" s="70">
        <v>0.85799999999999998</v>
      </c>
      <c r="P5" s="70">
        <v>1.131</v>
      </c>
      <c r="Q5" s="104">
        <v>2.7909999999999999</v>
      </c>
      <c r="R5" s="84">
        <v>6.4589999999999996</v>
      </c>
      <c r="S5" s="70">
        <v>7.0919999999999996</v>
      </c>
      <c r="T5" s="72">
        <v>2.8879999999999999</v>
      </c>
      <c r="U5" s="72">
        <v>1.383</v>
      </c>
      <c r="V5" s="72">
        <v>2.7029999999999998</v>
      </c>
      <c r="W5" s="72">
        <v>1.1499999999999999</v>
      </c>
      <c r="X5" s="69">
        <v>1.5940000000000001</v>
      </c>
      <c r="Y5" s="85">
        <v>3.903</v>
      </c>
      <c r="Z5" s="100">
        <v>10.305999999999999</v>
      </c>
      <c r="AA5" s="100">
        <v>11.37</v>
      </c>
      <c r="AB5" s="100">
        <v>4.7089999999999996</v>
      </c>
      <c r="AC5" s="100">
        <v>2.165</v>
      </c>
      <c r="AD5" s="100">
        <v>4.3940000000000001</v>
      </c>
      <c r="AE5" s="100">
        <v>1.7789999999999999</v>
      </c>
      <c r="AF5" s="100">
        <v>2.64</v>
      </c>
      <c r="AG5" s="101">
        <v>6.391</v>
      </c>
      <c r="AH5" s="105">
        <f>Z5</f>
        <v>10.305999999999999</v>
      </c>
      <c r="AI5" s="106">
        <f>AA5</f>
        <v>11.37</v>
      </c>
      <c r="AJ5" s="106">
        <f t="shared" si="5"/>
        <v>4.7089999999999996</v>
      </c>
      <c r="AK5" s="106">
        <f t="shared" si="6"/>
        <v>2.165</v>
      </c>
      <c r="AL5" s="106">
        <f t="shared" si="7"/>
        <v>4.3940000000000001</v>
      </c>
      <c r="AM5" s="106">
        <f t="shared" si="8"/>
        <v>1.7789999999999999</v>
      </c>
      <c r="AN5" s="106">
        <f t="shared" si="9"/>
        <v>2.64</v>
      </c>
      <c r="AO5" s="107">
        <f>AG5</f>
        <v>6.391</v>
      </c>
    </row>
    <row r="6" spans="1:41" x14ac:dyDescent="0.2">
      <c r="A6" s="76">
        <v>17</v>
      </c>
      <c r="B6" s="57">
        <v>3.319</v>
      </c>
      <c r="C6" s="57">
        <v>3.62</v>
      </c>
      <c r="D6" s="98">
        <v>1.4550000000000001</v>
      </c>
      <c r="E6" s="98">
        <v>0.74</v>
      </c>
      <c r="F6" s="98">
        <v>1.369</v>
      </c>
      <c r="G6" s="98">
        <v>0.628</v>
      </c>
      <c r="H6" s="98">
        <v>0.77600000000000002</v>
      </c>
      <c r="I6" s="98">
        <v>1.9319999999999999</v>
      </c>
      <c r="J6" s="103">
        <v>4.8019999999999996</v>
      </c>
      <c r="K6" s="69">
        <v>5.2560000000000002</v>
      </c>
      <c r="L6" s="69">
        <v>2.1230000000000002</v>
      </c>
      <c r="M6" s="69">
        <v>1.0449999999999999</v>
      </c>
      <c r="N6" s="69">
        <v>1.992</v>
      </c>
      <c r="O6" s="69">
        <v>0.877</v>
      </c>
      <c r="P6" s="69">
        <v>1.155</v>
      </c>
      <c r="Q6" s="85">
        <v>2.8519999999999999</v>
      </c>
      <c r="R6" s="84">
        <v>6.5650000000000004</v>
      </c>
      <c r="S6" s="70">
        <v>7.2080000000000002</v>
      </c>
      <c r="T6" s="72">
        <v>2.9350000000000001</v>
      </c>
      <c r="U6" s="72">
        <v>1.4059999999999999</v>
      </c>
      <c r="V6" s="72">
        <v>2.7469999999999999</v>
      </c>
      <c r="W6" s="72">
        <v>1.169</v>
      </c>
      <c r="X6" s="69">
        <v>1.62</v>
      </c>
      <c r="Y6" s="85">
        <v>3.9670000000000001</v>
      </c>
      <c r="Z6" s="100">
        <v>10.396000000000001</v>
      </c>
      <c r="AA6" s="100">
        <v>11.468999999999999</v>
      </c>
      <c r="AB6" s="100">
        <v>4.75</v>
      </c>
      <c r="AC6" s="100">
        <v>2.1840000000000002</v>
      </c>
      <c r="AD6" s="100">
        <v>4.4320000000000004</v>
      </c>
      <c r="AE6" s="100">
        <v>1.7949999999999999</v>
      </c>
      <c r="AF6" s="100">
        <v>2.6629999999999998</v>
      </c>
      <c r="AG6" s="101">
        <v>6.4470000000000001</v>
      </c>
      <c r="AH6" s="105">
        <f t="shared" ref="AH6:AH56" si="11">Z6</f>
        <v>10.396000000000001</v>
      </c>
      <c r="AI6" s="106">
        <f t="shared" ref="AI6:AI56" si="12">AA6</f>
        <v>11.468999999999999</v>
      </c>
      <c r="AJ6" s="106">
        <f t="shared" ref="AJ6:AJ56" si="13">AB6</f>
        <v>4.75</v>
      </c>
      <c r="AK6" s="106">
        <f t="shared" ref="AK6:AK56" si="14">AC6</f>
        <v>2.1840000000000002</v>
      </c>
      <c r="AL6" s="106">
        <f t="shared" ref="AL6:AL56" si="15">AD6</f>
        <v>4.4320000000000004</v>
      </c>
      <c r="AM6" s="106">
        <f t="shared" ref="AM6:AM56" si="16">AE6</f>
        <v>1.7949999999999999</v>
      </c>
      <c r="AN6" s="106">
        <f t="shared" ref="AN6:AN56" si="17">AF6</f>
        <v>2.6629999999999998</v>
      </c>
      <c r="AO6" s="107">
        <f t="shared" ref="AO6:AO56" si="18">AG6</f>
        <v>6.4470000000000001</v>
      </c>
    </row>
    <row r="7" spans="1:41" x14ac:dyDescent="0.2">
      <c r="A7" s="75">
        <v>18</v>
      </c>
      <c r="B7" s="57">
        <v>3.4119999999999999</v>
      </c>
      <c r="C7" s="57">
        <v>3.7210000000000001</v>
      </c>
      <c r="D7" s="97">
        <v>1.496</v>
      </c>
      <c r="E7" s="97">
        <v>0.76100000000000001</v>
      </c>
      <c r="F7" s="97">
        <v>1.407</v>
      </c>
      <c r="G7" s="97">
        <v>0.64500000000000002</v>
      </c>
      <c r="H7" s="97">
        <v>0.79700000000000004</v>
      </c>
      <c r="I7" s="97">
        <v>1.986</v>
      </c>
      <c r="J7" s="84">
        <v>4.9059999999999997</v>
      </c>
      <c r="K7" s="70">
        <v>5.37</v>
      </c>
      <c r="L7" s="70">
        <v>2.169</v>
      </c>
      <c r="M7" s="70">
        <v>1.0680000000000001</v>
      </c>
      <c r="N7" s="70">
        <v>2.0350000000000001</v>
      </c>
      <c r="O7" s="70">
        <v>0.89600000000000002</v>
      </c>
      <c r="P7" s="70">
        <v>1.18</v>
      </c>
      <c r="Q7" s="104">
        <v>2.9140000000000001</v>
      </c>
      <c r="R7" s="84">
        <v>6.6719999999999997</v>
      </c>
      <c r="S7" s="70">
        <v>7.3259999999999996</v>
      </c>
      <c r="T7" s="72">
        <v>2.9830000000000001</v>
      </c>
      <c r="U7" s="72">
        <v>1.429</v>
      </c>
      <c r="V7" s="72">
        <v>2.7919999999999998</v>
      </c>
      <c r="W7" s="72">
        <v>1.1879999999999999</v>
      </c>
      <c r="X7" s="69">
        <v>1.6459999999999999</v>
      </c>
      <c r="Y7" s="85">
        <v>4.032</v>
      </c>
      <c r="Z7" s="100">
        <v>10.486000000000001</v>
      </c>
      <c r="AA7" s="100">
        <v>11.57</v>
      </c>
      <c r="AB7" s="100">
        <v>4.7910000000000004</v>
      </c>
      <c r="AC7" s="100">
        <v>2.2029999999999998</v>
      </c>
      <c r="AD7" s="100">
        <v>4.4710000000000001</v>
      </c>
      <c r="AE7" s="100">
        <v>1.81</v>
      </c>
      <c r="AF7" s="100">
        <v>2.6859999999999999</v>
      </c>
      <c r="AG7" s="101">
        <v>6.5030000000000001</v>
      </c>
      <c r="AH7" s="105">
        <f t="shared" si="11"/>
        <v>10.486000000000001</v>
      </c>
      <c r="AI7" s="106">
        <f t="shared" si="12"/>
        <v>11.57</v>
      </c>
      <c r="AJ7" s="106">
        <f t="shared" si="13"/>
        <v>4.7910000000000004</v>
      </c>
      <c r="AK7" s="106">
        <f t="shared" si="14"/>
        <v>2.2029999999999998</v>
      </c>
      <c r="AL7" s="106">
        <f t="shared" si="15"/>
        <v>4.4710000000000001</v>
      </c>
      <c r="AM7" s="106">
        <f t="shared" si="16"/>
        <v>1.81</v>
      </c>
      <c r="AN7" s="106">
        <f t="shared" si="17"/>
        <v>2.6859999999999999</v>
      </c>
      <c r="AO7" s="107">
        <f t="shared" si="18"/>
        <v>6.5030000000000001</v>
      </c>
    </row>
    <row r="8" spans="1:41" x14ac:dyDescent="0.2">
      <c r="A8" s="76">
        <v>19</v>
      </c>
      <c r="B8" s="57">
        <v>3.508</v>
      </c>
      <c r="C8" s="57">
        <v>3.8260000000000001</v>
      </c>
      <c r="D8" s="98">
        <v>1.538</v>
      </c>
      <c r="E8" s="98">
        <v>0.78200000000000003</v>
      </c>
      <c r="F8" s="98">
        <v>1.446</v>
      </c>
      <c r="G8" s="98">
        <v>0.66300000000000003</v>
      </c>
      <c r="H8" s="98">
        <v>0.82</v>
      </c>
      <c r="I8" s="98">
        <v>2.0419999999999998</v>
      </c>
      <c r="J8" s="103">
        <v>5.0119999999999996</v>
      </c>
      <c r="K8" s="69">
        <v>5.4859999999999998</v>
      </c>
      <c r="L8" s="69">
        <v>2.2160000000000002</v>
      </c>
      <c r="M8" s="69">
        <v>1.091</v>
      </c>
      <c r="N8" s="69">
        <v>2.0790000000000002</v>
      </c>
      <c r="O8" s="69">
        <v>0.91500000000000004</v>
      </c>
      <c r="P8" s="69">
        <v>1.206</v>
      </c>
      <c r="Q8" s="85">
        <v>2.9769999999999999</v>
      </c>
      <c r="R8" s="84">
        <v>6.782</v>
      </c>
      <c r="S8" s="70">
        <v>7.4470000000000001</v>
      </c>
      <c r="T8" s="72">
        <v>3.032</v>
      </c>
      <c r="U8" s="72">
        <v>1.452</v>
      </c>
      <c r="V8" s="72">
        <v>2.8380000000000001</v>
      </c>
      <c r="W8" s="72">
        <v>1.2070000000000001</v>
      </c>
      <c r="X8" s="69">
        <v>1.673</v>
      </c>
      <c r="Y8" s="85">
        <v>4.0979999999999999</v>
      </c>
      <c r="Z8" s="100">
        <v>10.577999999999999</v>
      </c>
      <c r="AA8" s="100">
        <v>11.670999999999999</v>
      </c>
      <c r="AB8" s="100">
        <v>4.8330000000000002</v>
      </c>
      <c r="AC8" s="100">
        <v>2.222</v>
      </c>
      <c r="AD8" s="100">
        <v>4.51</v>
      </c>
      <c r="AE8" s="100">
        <v>1.8260000000000001</v>
      </c>
      <c r="AF8" s="100">
        <v>2.7090000000000001</v>
      </c>
      <c r="AG8" s="101">
        <v>6.56</v>
      </c>
      <c r="AH8" s="105">
        <f t="shared" si="11"/>
        <v>10.577999999999999</v>
      </c>
      <c r="AI8" s="106">
        <f t="shared" si="12"/>
        <v>11.670999999999999</v>
      </c>
      <c r="AJ8" s="106">
        <f t="shared" si="13"/>
        <v>4.8330000000000002</v>
      </c>
      <c r="AK8" s="106">
        <f t="shared" si="14"/>
        <v>2.222</v>
      </c>
      <c r="AL8" s="106">
        <f t="shared" si="15"/>
        <v>4.51</v>
      </c>
      <c r="AM8" s="106">
        <f t="shared" si="16"/>
        <v>1.8260000000000001</v>
      </c>
      <c r="AN8" s="106">
        <f t="shared" si="17"/>
        <v>2.7090000000000001</v>
      </c>
      <c r="AO8" s="107">
        <f t="shared" si="18"/>
        <v>6.56</v>
      </c>
    </row>
    <row r="9" spans="1:41" x14ac:dyDescent="0.2">
      <c r="A9" s="75">
        <v>20</v>
      </c>
      <c r="B9" s="57">
        <v>3.6059999999999999</v>
      </c>
      <c r="C9" s="57">
        <v>3.9329999999999998</v>
      </c>
      <c r="D9" s="97">
        <v>1.58</v>
      </c>
      <c r="E9" s="97">
        <v>0.80300000000000005</v>
      </c>
      <c r="F9" s="97">
        <v>1.486</v>
      </c>
      <c r="G9" s="97">
        <v>0.68</v>
      </c>
      <c r="H9" s="97">
        <v>0.84299999999999997</v>
      </c>
      <c r="I9" s="97">
        <v>2.0990000000000002</v>
      </c>
      <c r="J9" s="84">
        <v>5.1210000000000004</v>
      </c>
      <c r="K9" s="70">
        <v>5.6050000000000004</v>
      </c>
      <c r="L9" s="70">
        <v>2.2639999999999998</v>
      </c>
      <c r="M9" s="70">
        <v>1.113</v>
      </c>
      <c r="N9" s="70">
        <v>2.1230000000000002</v>
      </c>
      <c r="O9" s="70">
        <v>0.93400000000000005</v>
      </c>
      <c r="P9" s="70">
        <v>1.232</v>
      </c>
      <c r="Q9" s="104">
        <v>3.0409999999999999</v>
      </c>
      <c r="R9" s="84">
        <v>6.8929999999999998</v>
      </c>
      <c r="S9" s="70">
        <v>7.569</v>
      </c>
      <c r="T9" s="72">
        <v>3.081</v>
      </c>
      <c r="U9" s="72">
        <v>1.474</v>
      </c>
      <c r="V9" s="72">
        <v>2.8839999999999999</v>
      </c>
      <c r="W9" s="72">
        <v>1.226</v>
      </c>
      <c r="X9" s="69">
        <v>1.7010000000000001</v>
      </c>
      <c r="Y9" s="85">
        <v>4.1660000000000004</v>
      </c>
      <c r="Z9" s="100">
        <v>10.670999999999999</v>
      </c>
      <c r="AA9" s="100">
        <v>11.773999999999999</v>
      </c>
      <c r="AB9" s="100">
        <v>4.875</v>
      </c>
      <c r="AC9" s="100">
        <v>2.2400000000000002</v>
      </c>
      <c r="AD9" s="100">
        <v>4.548</v>
      </c>
      <c r="AE9" s="100">
        <v>1.84</v>
      </c>
      <c r="AF9" s="100">
        <v>2.7330000000000001</v>
      </c>
      <c r="AG9" s="101">
        <v>6.6180000000000003</v>
      </c>
      <c r="AH9" s="105">
        <f t="shared" si="11"/>
        <v>10.670999999999999</v>
      </c>
      <c r="AI9" s="106">
        <f t="shared" si="12"/>
        <v>11.773999999999999</v>
      </c>
      <c r="AJ9" s="106">
        <f t="shared" si="13"/>
        <v>4.875</v>
      </c>
      <c r="AK9" s="106">
        <f t="shared" si="14"/>
        <v>2.2400000000000002</v>
      </c>
      <c r="AL9" s="106">
        <f t="shared" si="15"/>
        <v>4.548</v>
      </c>
      <c r="AM9" s="106">
        <f t="shared" si="16"/>
        <v>1.84</v>
      </c>
      <c r="AN9" s="106">
        <f t="shared" si="17"/>
        <v>2.7330000000000001</v>
      </c>
      <c r="AO9" s="107">
        <f t="shared" si="18"/>
        <v>6.6180000000000003</v>
      </c>
    </row>
    <row r="10" spans="1:41" x14ac:dyDescent="0.2">
      <c r="A10" s="76">
        <v>21</v>
      </c>
      <c r="B10" s="57">
        <v>3.7069999999999999</v>
      </c>
      <c r="C10" s="57">
        <v>4.0430000000000001</v>
      </c>
      <c r="D10" s="98">
        <v>1.623</v>
      </c>
      <c r="E10" s="98">
        <v>0.82399999999999995</v>
      </c>
      <c r="F10" s="98">
        <v>1.5269999999999999</v>
      </c>
      <c r="G10" s="98">
        <v>0.69799999999999995</v>
      </c>
      <c r="H10" s="98">
        <v>0.86599999999999999</v>
      </c>
      <c r="I10" s="98">
        <v>2.157</v>
      </c>
      <c r="J10" s="103">
        <v>5.2320000000000002</v>
      </c>
      <c r="K10" s="69">
        <v>5.7270000000000003</v>
      </c>
      <c r="L10" s="69">
        <v>2.3119999999999998</v>
      </c>
      <c r="M10" s="69">
        <v>1.1359999999999999</v>
      </c>
      <c r="N10" s="69">
        <v>2.1680000000000001</v>
      </c>
      <c r="O10" s="69">
        <v>0.95199999999999996</v>
      </c>
      <c r="P10" s="69">
        <v>1.2589999999999999</v>
      </c>
      <c r="Q10" s="85">
        <v>3.1080000000000001</v>
      </c>
      <c r="R10" s="84">
        <v>7.0069999999999997</v>
      </c>
      <c r="S10" s="70">
        <v>7.694</v>
      </c>
      <c r="T10" s="72">
        <v>3.1309999999999998</v>
      </c>
      <c r="U10" s="72">
        <v>1.4970000000000001</v>
      </c>
      <c r="V10" s="72">
        <v>2.93</v>
      </c>
      <c r="W10" s="72">
        <v>1.244</v>
      </c>
      <c r="X10" s="69">
        <v>1.7290000000000001</v>
      </c>
      <c r="Y10" s="85">
        <v>4.234</v>
      </c>
      <c r="Z10" s="100">
        <v>10.766</v>
      </c>
      <c r="AA10" s="100">
        <v>11.877000000000001</v>
      </c>
      <c r="AB10" s="100">
        <v>4.9160000000000004</v>
      </c>
      <c r="AC10" s="100">
        <v>2.2570000000000001</v>
      </c>
      <c r="AD10" s="100">
        <v>4.5869999999999997</v>
      </c>
      <c r="AE10" s="100">
        <v>1.8540000000000001</v>
      </c>
      <c r="AF10" s="100">
        <v>2.7570000000000001</v>
      </c>
      <c r="AG10" s="101">
        <v>6.6760000000000002</v>
      </c>
      <c r="AH10" s="105">
        <f t="shared" si="11"/>
        <v>10.766</v>
      </c>
      <c r="AI10" s="106">
        <f t="shared" si="12"/>
        <v>11.877000000000001</v>
      </c>
      <c r="AJ10" s="106">
        <f t="shared" si="13"/>
        <v>4.9160000000000004</v>
      </c>
      <c r="AK10" s="106">
        <f t="shared" si="14"/>
        <v>2.2570000000000001</v>
      </c>
      <c r="AL10" s="106">
        <f t="shared" si="15"/>
        <v>4.5869999999999997</v>
      </c>
      <c r="AM10" s="106">
        <f t="shared" si="16"/>
        <v>1.8540000000000001</v>
      </c>
      <c r="AN10" s="106">
        <f t="shared" si="17"/>
        <v>2.7570000000000001</v>
      </c>
      <c r="AO10" s="107">
        <f t="shared" si="18"/>
        <v>6.6760000000000002</v>
      </c>
    </row>
    <row r="11" spans="1:41" x14ac:dyDescent="0.2">
      <c r="A11" s="75">
        <v>22</v>
      </c>
      <c r="B11" s="57">
        <v>3.8109999999999999</v>
      </c>
      <c r="C11" s="57">
        <v>4.1559999999999997</v>
      </c>
      <c r="D11" s="97">
        <v>1.667</v>
      </c>
      <c r="E11" s="97">
        <v>0.84499999999999997</v>
      </c>
      <c r="F11" s="97">
        <v>1.5680000000000001</v>
      </c>
      <c r="G11" s="97">
        <v>0.71599999999999997</v>
      </c>
      <c r="H11" s="97">
        <v>0.89100000000000001</v>
      </c>
      <c r="I11" s="97">
        <v>2.218</v>
      </c>
      <c r="J11" s="84">
        <v>5.3460000000000001</v>
      </c>
      <c r="K11" s="70">
        <v>5.8520000000000003</v>
      </c>
      <c r="L11" s="70">
        <v>2.36</v>
      </c>
      <c r="M11" s="70">
        <v>1.1579999999999999</v>
      </c>
      <c r="N11" s="70">
        <v>2.2130000000000001</v>
      </c>
      <c r="O11" s="70">
        <v>0.97099999999999997</v>
      </c>
      <c r="P11" s="70">
        <v>1.286</v>
      </c>
      <c r="Q11" s="104">
        <v>3.1749999999999998</v>
      </c>
      <c r="R11" s="84">
        <v>7.1230000000000002</v>
      </c>
      <c r="S11" s="70">
        <v>7.82</v>
      </c>
      <c r="T11" s="72">
        <v>3.18</v>
      </c>
      <c r="U11" s="72">
        <v>1.5189999999999999</v>
      </c>
      <c r="V11" s="72">
        <v>2.976</v>
      </c>
      <c r="W11" s="72">
        <v>1.262</v>
      </c>
      <c r="X11" s="69">
        <v>1.7569999999999999</v>
      </c>
      <c r="Y11" s="85">
        <v>4.3040000000000003</v>
      </c>
      <c r="Z11" s="100">
        <v>10.861000000000001</v>
      </c>
      <c r="AA11" s="100">
        <v>11.981999999999999</v>
      </c>
      <c r="AB11" s="100">
        <v>4.9569999999999999</v>
      </c>
      <c r="AC11" s="100">
        <v>2.274</v>
      </c>
      <c r="AD11" s="100">
        <v>4.625</v>
      </c>
      <c r="AE11" s="100">
        <v>1.867</v>
      </c>
      <c r="AF11" s="100">
        <v>2.782</v>
      </c>
      <c r="AG11" s="101">
        <v>6.7350000000000003</v>
      </c>
      <c r="AH11" s="105">
        <f t="shared" si="11"/>
        <v>10.861000000000001</v>
      </c>
      <c r="AI11" s="106">
        <f t="shared" si="12"/>
        <v>11.981999999999999</v>
      </c>
      <c r="AJ11" s="106">
        <f t="shared" si="13"/>
        <v>4.9569999999999999</v>
      </c>
      <c r="AK11" s="106">
        <f t="shared" si="14"/>
        <v>2.274</v>
      </c>
      <c r="AL11" s="106">
        <f t="shared" si="15"/>
        <v>4.625</v>
      </c>
      <c r="AM11" s="106">
        <f t="shared" si="16"/>
        <v>1.867</v>
      </c>
      <c r="AN11" s="106">
        <f t="shared" si="17"/>
        <v>2.782</v>
      </c>
      <c r="AO11" s="107">
        <f t="shared" si="18"/>
        <v>6.7350000000000003</v>
      </c>
    </row>
    <row r="12" spans="1:41" x14ac:dyDescent="0.2">
      <c r="A12" s="76">
        <v>23</v>
      </c>
      <c r="B12" s="57">
        <v>3.9180000000000001</v>
      </c>
      <c r="C12" s="57">
        <v>4.2729999999999997</v>
      </c>
      <c r="D12" s="98">
        <v>1.7110000000000001</v>
      </c>
      <c r="E12" s="98">
        <v>0.86599999999999999</v>
      </c>
      <c r="F12" s="98">
        <v>1.609</v>
      </c>
      <c r="G12" s="98">
        <v>0.73299999999999998</v>
      </c>
      <c r="H12" s="98">
        <v>0.91600000000000004</v>
      </c>
      <c r="I12" s="98">
        <v>2.2799999999999998</v>
      </c>
      <c r="J12" s="103">
        <v>5.4630000000000001</v>
      </c>
      <c r="K12" s="69">
        <v>5.9790000000000001</v>
      </c>
      <c r="L12" s="69">
        <v>2.4079999999999999</v>
      </c>
      <c r="M12" s="69">
        <v>1.18</v>
      </c>
      <c r="N12" s="69">
        <v>2.258</v>
      </c>
      <c r="O12" s="69">
        <v>0.98899999999999999</v>
      </c>
      <c r="P12" s="69">
        <v>1.3149999999999999</v>
      </c>
      <c r="Q12" s="85">
        <v>3.2440000000000002</v>
      </c>
      <c r="R12" s="84">
        <v>7.2409999999999997</v>
      </c>
      <c r="S12" s="70">
        <v>7.9489999999999998</v>
      </c>
      <c r="T12" s="72">
        <v>3.2290000000000001</v>
      </c>
      <c r="U12" s="72">
        <v>1.54</v>
      </c>
      <c r="V12" s="72">
        <v>3.0209999999999999</v>
      </c>
      <c r="W12" s="72">
        <v>1.2789999999999999</v>
      </c>
      <c r="X12" s="69">
        <v>1.7869999999999999</v>
      </c>
      <c r="Y12" s="85">
        <v>4.375</v>
      </c>
      <c r="Z12" s="100">
        <v>10.958</v>
      </c>
      <c r="AA12" s="100">
        <v>12.087999999999999</v>
      </c>
      <c r="AB12" s="100">
        <v>4.9960000000000004</v>
      </c>
      <c r="AC12" s="100">
        <v>2.29</v>
      </c>
      <c r="AD12" s="100">
        <v>4.6609999999999996</v>
      </c>
      <c r="AE12" s="100">
        <v>1.88</v>
      </c>
      <c r="AF12" s="100">
        <v>2.8069999999999999</v>
      </c>
      <c r="AG12" s="101">
        <v>6.7939999999999996</v>
      </c>
      <c r="AH12" s="105">
        <f t="shared" si="11"/>
        <v>10.958</v>
      </c>
      <c r="AI12" s="106">
        <f t="shared" si="12"/>
        <v>12.087999999999999</v>
      </c>
      <c r="AJ12" s="106">
        <f t="shared" si="13"/>
        <v>4.9960000000000004</v>
      </c>
      <c r="AK12" s="106">
        <f t="shared" si="14"/>
        <v>2.29</v>
      </c>
      <c r="AL12" s="106">
        <f t="shared" si="15"/>
        <v>4.6609999999999996</v>
      </c>
      <c r="AM12" s="106">
        <f t="shared" si="16"/>
        <v>1.88</v>
      </c>
      <c r="AN12" s="106">
        <f t="shared" si="17"/>
        <v>2.8069999999999999</v>
      </c>
      <c r="AO12" s="107">
        <f t="shared" si="18"/>
        <v>6.7939999999999996</v>
      </c>
    </row>
    <row r="13" spans="1:41" x14ac:dyDescent="0.2">
      <c r="A13" s="75">
        <v>24</v>
      </c>
      <c r="B13" s="57">
        <v>4.0289999999999999</v>
      </c>
      <c r="C13" s="57">
        <v>4.3929999999999998</v>
      </c>
      <c r="D13" s="97">
        <v>1.7549999999999999</v>
      </c>
      <c r="E13" s="97">
        <v>0.88700000000000001</v>
      </c>
      <c r="F13" s="97">
        <v>1.65</v>
      </c>
      <c r="G13" s="97">
        <v>0.75</v>
      </c>
      <c r="H13" s="97">
        <v>0.94199999999999995</v>
      </c>
      <c r="I13" s="97">
        <v>2.3439999999999999</v>
      </c>
      <c r="J13" s="84">
        <v>5.5830000000000002</v>
      </c>
      <c r="K13" s="70">
        <v>6.109</v>
      </c>
      <c r="L13" s="70">
        <v>2.456</v>
      </c>
      <c r="M13" s="70">
        <v>1.202</v>
      </c>
      <c r="N13" s="70">
        <v>2.3029999999999999</v>
      </c>
      <c r="O13" s="70">
        <v>1.006</v>
      </c>
      <c r="P13" s="70">
        <v>1.343</v>
      </c>
      <c r="Q13" s="104">
        <v>3.3149999999999999</v>
      </c>
      <c r="R13" s="84">
        <v>7.3620000000000001</v>
      </c>
      <c r="S13" s="70">
        <v>8.0809999999999995</v>
      </c>
      <c r="T13" s="72">
        <v>3.2770000000000001</v>
      </c>
      <c r="U13" s="72">
        <v>1.5609999999999999</v>
      </c>
      <c r="V13" s="72">
        <v>3.0659999999999998</v>
      </c>
      <c r="W13" s="72">
        <v>1.296</v>
      </c>
      <c r="X13" s="69">
        <v>1.8160000000000001</v>
      </c>
      <c r="Y13" s="85">
        <v>4.4470000000000001</v>
      </c>
      <c r="Z13" s="100">
        <v>11.057</v>
      </c>
      <c r="AA13" s="100">
        <v>12.195</v>
      </c>
      <c r="AB13" s="100">
        <v>5.0339999999999998</v>
      </c>
      <c r="AC13" s="100">
        <v>2.3050000000000002</v>
      </c>
      <c r="AD13" s="100">
        <v>4.6959999999999997</v>
      </c>
      <c r="AE13" s="100">
        <v>1.891</v>
      </c>
      <c r="AF13" s="100">
        <v>2.8319999999999999</v>
      </c>
      <c r="AG13" s="101">
        <v>6.8550000000000004</v>
      </c>
      <c r="AH13" s="105">
        <f t="shared" si="11"/>
        <v>11.057</v>
      </c>
      <c r="AI13" s="106">
        <f t="shared" si="12"/>
        <v>12.195</v>
      </c>
      <c r="AJ13" s="106">
        <f t="shared" si="13"/>
        <v>5.0339999999999998</v>
      </c>
      <c r="AK13" s="106">
        <f t="shared" si="14"/>
        <v>2.3050000000000002</v>
      </c>
      <c r="AL13" s="106">
        <f t="shared" si="15"/>
        <v>4.6959999999999997</v>
      </c>
      <c r="AM13" s="106">
        <f t="shared" si="16"/>
        <v>1.891</v>
      </c>
      <c r="AN13" s="106">
        <f t="shared" si="17"/>
        <v>2.8319999999999999</v>
      </c>
      <c r="AO13" s="107">
        <f t="shared" si="18"/>
        <v>6.8550000000000004</v>
      </c>
    </row>
    <row r="14" spans="1:41" x14ac:dyDescent="0.2">
      <c r="A14" s="76">
        <v>25</v>
      </c>
      <c r="B14" s="57">
        <v>4.1429999999999998</v>
      </c>
      <c r="C14" s="57">
        <v>4.516</v>
      </c>
      <c r="D14" s="98">
        <v>1.7989999999999999</v>
      </c>
      <c r="E14" s="98">
        <v>0.90800000000000003</v>
      </c>
      <c r="F14" s="98">
        <v>1.6910000000000001</v>
      </c>
      <c r="G14" s="98">
        <v>0.76700000000000002</v>
      </c>
      <c r="H14" s="98">
        <v>0.96799999999999997</v>
      </c>
      <c r="I14" s="98">
        <v>2.41</v>
      </c>
      <c r="J14" s="103">
        <v>5.7060000000000004</v>
      </c>
      <c r="K14" s="69">
        <v>6.242</v>
      </c>
      <c r="L14" s="69">
        <v>2.5030000000000001</v>
      </c>
      <c r="M14" s="69">
        <v>1.224</v>
      </c>
      <c r="N14" s="69">
        <v>2.347</v>
      </c>
      <c r="O14" s="69">
        <v>1.024</v>
      </c>
      <c r="P14" s="69">
        <v>1.373</v>
      </c>
      <c r="Q14" s="85">
        <v>3.387</v>
      </c>
      <c r="R14" s="84">
        <v>7.4850000000000003</v>
      </c>
      <c r="S14" s="70">
        <v>8.2140000000000004</v>
      </c>
      <c r="T14" s="72">
        <v>3.3239999999999998</v>
      </c>
      <c r="U14" s="72">
        <v>1.5820000000000001</v>
      </c>
      <c r="V14" s="72">
        <v>3.11</v>
      </c>
      <c r="W14" s="72">
        <v>1.3120000000000001</v>
      </c>
      <c r="X14" s="69">
        <v>1.847</v>
      </c>
      <c r="Y14" s="85">
        <v>4.5209999999999999</v>
      </c>
      <c r="Z14" s="100">
        <v>11.157</v>
      </c>
      <c r="AA14" s="100">
        <v>12.303000000000001</v>
      </c>
      <c r="AB14" s="100">
        <v>5.07</v>
      </c>
      <c r="AC14" s="100">
        <v>2.319</v>
      </c>
      <c r="AD14" s="100">
        <v>4.7290000000000001</v>
      </c>
      <c r="AE14" s="100">
        <v>1.901</v>
      </c>
      <c r="AF14" s="100">
        <v>2.8580000000000001</v>
      </c>
      <c r="AG14" s="101">
        <v>6.915</v>
      </c>
      <c r="AH14" s="105">
        <f t="shared" si="11"/>
        <v>11.157</v>
      </c>
      <c r="AI14" s="106">
        <f t="shared" si="12"/>
        <v>12.303000000000001</v>
      </c>
      <c r="AJ14" s="106">
        <f t="shared" si="13"/>
        <v>5.07</v>
      </c>
      <c r="AK14" s="106">
        <f t="shared" si="14"/>
        <v>2.319</v>
      </c>
      <c r="AL14" s="106">
        <f t="shared" si="15"/>
        <v>4.7290000000000001</v>
      </c>
      <c r="AM14" s="106">
        <f t="shared" si="16"/>
        <v>1.901</v>
      </c>
      <c r="AN14" s="106">
        <f t="shared" si="17"/>
        <v>2.8580000000000001</v>
      </c>
      <c r="AO14" s="107">
        <f t="shared" si="18"/>
        <v>6.915</v>
      </c>
    </row>
    <row r="15" spans="1:41" x14ac:dyDescent="0.2">
      <c r="A15" s="75">
        <v>26</v>
      </c>
      <c r="B15" s="57">
        <v>4.26</v>
      </c>
      <c r="C15" s="57">
        <v>4.6429999999999998</v>
      </c>
      <c r="D15" s="97">
        <v>1.843</v>
      </c>
      <c r="E15" s="97">
        <v>0.92900000000000005</v>
      </c>
      <c r="F15" s="97">
        <v>1.732</v>
      </c>
      <c r="G15" s="97">
        <v>0.78400000000000003</v>
      </c>
      <c r="H15" s="97">
        <v>0.996</v>
      </c>
      <c r="I15" s="97">
        <v>2.4780000000000002</v>
      </c>
      <c r="J15" s="84">
        <v>5.8319999999999999</v>
      </c>
      <c r="K15" s="70">
        <v>6.3780000000000001</v>
      </c>
      <c r="L15" s="70">
        <v>2.5499999999999998</v>
      </c>
      <c r="M15" s="70">
        <v>1.246</v>
      </c>
      <c r="N15" s="70">
        <v>2.39</v>
      </c>
      <c r="O15" s="70">
        <v>1.0409999999999999</v>
      </c>
      <c r="P15" s="70">
        <v>1.403</v>
      </c>
      <c r="Q15" s="104">
        <v>3.4609999999999999</v>
      </c>
      <c r="R15" s="84">
        <v>7.61</v>
      </c>
      <c r="S15" s="70">
        <v>8.3490000000000002</v>
      </c>
      <c r="T15" s="72">
        <v>3.37</v>
      </c>
      <c r="U15" s="72">
        <v>1.6020000000000001</v>
      </c>
      <c r="V15" s="72">
        <v>3.1520000000000001</v>
      </c>
      <c r="W15" s="72">
        <v>1.3280000000000001</v>
      </c>
      <c r="X15" s="69">
        <v>1.8779999999999999</v>
      </c>
      <c r="Y15" s="85">
        <v>4.5949999999999998</v>
      </c>
      <c r="Z15" s="100">
        <v>11.259</v>
      </c>
      <c r="AA15" s="100">
        <v>12.412000000000001</v>
      </c>
      <c r="AB15" s="100">
        <v>5.1050000000000004</v>
      </c>
      <c r="AC15" s="100">
        <v>2.3330000000000002</v>
      </c>
      <c r="AD15" s="100">
        <v>4.7610000000000001</v>
      </c>
      <c r="AE15" s="100">
        <v>1.9119999999999999</v>
      </c>
      <c r="AF15" s="100">
        <v>2.8839999999999999</v>
      </c>
      <c r="AG15" s="101">
        <v>6.976</v>
      </c>
      <c r="AH15" s="105">
        <f t="shared" si="11"/>
        <v>11.259</v>
      </c>
      <c r="AI15" s="106">
        <f t="shared" si="12"/>
        <v>12.412000000000001</v>
      </c>
      <c r="AJ15" s="106">
        <f t="shared" si="13"/>
        <v>5.1050000000000004</v>
      </c>
      <c r="AK15" s="106">
        <f t="shared" si="14"/>
        <v>2.3330000000000002</v>
      </c>
      <c r="AL15" s="106">
        <f t="shared" si="15"/>
        <v>4.7610000000000001</v>
      </c>
      <c r="AM15" s="106">
        <f t="shared" si="16"/>
        <v>1.9119999999999999</v>
      </c>
      <c r="AN15" s="106">
        <f t="shared" si="17"/>
        <v>2.8839999999999999</v>
      </c>
      <c r="AO15" s="107">
        <f t="shared" si="18"/>
        <v>6.976</v>
      </c>
    </row>
    <row r="16" spans="1:41" x14ac:dyDescent="0.2">
      <c r="A16" s="76">
        <v>27</v>
      </c>
      <c r="B16" s="57">
        <v>4.3810000000000002</v>
      </c>
      <c r="C16" s="57">
        <v>4.7729999999999997</v>
      </c>
      <c r="D16" s="98">
        <v>1.887</v>
      </c>
      <c r="E16" s="98">
        <v>0.95099999999999996</v>
      </c>
      <c r="F16" s="98">
        <v>1.7729999999999999</v>
      </c>
      <c r="G16" s="98">
        <v>0.80200000000000005</v>
      </c>
      <c r="H16" s="98">
        <v>1.024</v>
      </c>
      <c r="I16" s="98">
        <v>2.5470000000000002</v>
      </c>
      <c r="J16" s="103">
        <v>5.96</v>
      </c>
      <c r="K16" s="69">
        <v>6.5170000000000003</v>
      </c>
      <c r="L16" s="69">
        <v>2.597</v>
      </c>
      <c r="M16" s="69">
        <v>1.268</v>
      </c>
      <c r="N16" s="69">
        <v>2.4340000000000002</v>
      </c>
      <c r="O16" s="69">
        <v>1.0589999999999999</v>
      </c>
      <c r="P16" s="69">
        <v>1.4339999999999999</v>
      </c>
      <c r="Q16" s="85">
        <v>3.536</v>
      </c>
      <c r="R16" s="84">
        <v>7.7380000000000004</v>
      </c>
      <c r="S16" s="70">
        <v>8.4870000000000001</v>
      </c>
      <c r="T16" s="72">
        <v>3.4169999999999998</v>
      </c>
      <c r="U16" s="72">
        <v>1.623</v>
      </c>
      <c r="V16" s="72">
        <v>3.1949999999999998</v>
      </c>
      <c r="W16" s="72">
        <v>1.345</v>
      </c>
      <c r="X16" s="69">
        <v>1.909</v>
      </c>
      <c r="Y16" s="85">
        <v>4.6710000000000003</v>
      </c>
      <c r="Z16" s="100">
        <v>11.361000000000001</v>
      </c>
      <c r="AA16" s="100">
        <v>12.521000000000001</v>
      </c>
      <c r="AB16" s="100">
        <v>5.1390000000000002</v>
      </c>
      <c r="AC16" s="100">
        <v>2.347</v>
      </c>
      <c r="AD16" s="100">
        <v>4.7919999999999998</v>
      </c>
      <c r="AE16" s="100">
        <v>1.9219999999999999</v>
      </c>
      <c r="AF16" s="100">
        <v>2.91</v>
      </c>
      <c r="AG16" s="101">
        <v>7.0380000000000003</v>
      </c>
      <c r="AH16" s="105">
        <f t="shared" si="11"/>
        <v>11.361000000000001</v>
      </c>
      <c r="AI16" s="106">
        <f t="shared" si="12"/>
        <v>12.521000000000001</v>
      </c>
      <c r="AJ16" s="106">
        <f t="shared" si="13"/>
        <v>5.1390000000000002</v>
      </c>
      <c r="AK16" s="106">
        <f t="shared" si="14"/>
        <v>2.347</v>
      </c>
      <c r="AL16" s="106">
        <f t="shared" si="15"/>
        <v>4.7919999999999998</v>
      </c>
      <c r="AM16" s="106">
        <f t="shared" si="16"/>
        <v>1.9219999999999999</v>
      </c>
      <c r="AN16" s="106">
        <f t="shared" si="17"/>
        <v>2.91</v>
      </c>
      <c r="AO16" s="107">
        <f t="shared" si="18"/>
        <v>7.0380000000000003</v>
      </c>
    </row>
    <row r="17" spans="1:41" x14ac:dyDescent="0.2">
      <c r="A17" s="75">
        <v>28</v>
      </c>
      <c r="B17" s="57">
        <v>4.5049999999999999</v>
      </c>
      <c r="C17" s="57">
        <v>4.907</v>
      </c>
      <c r="D17" s="97">
        <v>1.9319999999999999</v>
      </c>
      <c r="E17" s="97">
        <v>0.97299999999999998</v>
      </c>
      <c r="F17" s="97">
        <v>1.8149999999999999</v>
      </c>
      <c r="G17" s="97">
        <v>0.82</v>
      </c>
      <c r="H17" s="97">
        <v>1.0529999999999999</v>
      </c>
      <c r="I17" s="97">
        <v>2.6190000000000002</v>
      </c>
      <c r="J17" s="84">
        <v>6.0919999999999996</v>
      </c>
      <c r="K17" s="70">
        <v>6.6589999999999998</v>
      </c>
      <c r="L17" s="70">
        <v>2.645</v>
      </c>
      <c r="M17" s="70">
        <v>1.29</v>
      </c>
      <c r="N17" s="70">
        <v>2.4780000000000002</v>
      </c>
      <c r="O17" s="70">
        <v>1.077</v>
      </c>
      <c r="P17" s="70">
        <v>1.466</v>
      </c>
      <c r="Q17" s="104">
        <v>3.613</v>
      </c>
      <c r="R17" s="84">
        <v>7.8680000000000003</v>
      </c>
      <c r="S17" s="70">
        <v>8.6270000000000007</v>
      </c>
      <c r="T17" s="72">
        <v>3.4630000000000001</v>
      </c>
      <c r="U17" s="72">
        <v>1.6439999999999999</v>
      </c>
      <c r="V17" s="72">
        <v>3.238</v>
      </c>
      <c r="W17" s="72">
        <v>1.361</v>
      </c>
      <c r="X17" s="69">
        <v>1.9410000000000001</v>
      </c>
      <c r="Y17" s="85">
        <v>4.7480000000000002</v>
      </c>
      <c r="Z17" s="100">
        <v>11.465</v>
      </c>
      <c r="AA17" s="100">
        <v>12.632</v>
      </c>
      <c r="AB17" s="100">
        <v>5.173</v>
      </c>
      <c r="AC17" s="100">
        <v>2.3610000000000002</v>
      </c>
      <c r="AD17" s="100">
        <v>4.8220000000000001</v>
      </c>
      <c r="AE17" s="100">
        <v>1.9319999999999999</v>
      </c>
      <c r="AF17" s="100">
        <v>2.9369999999999998</v>
      </c>
      <c r="AG17" s="101">
        <v>7.1</v>
      </c>
      <c r="AH17" s="105">
        <f t="shared" si="11"/>
        <v>11.465</v>
      </c>
      <c r="AI17" s="106">
        <f t="shared" si="12"/>
        <v>12.632</v>
      </c>
      <c r="AJ17" s="106">
        <f t="shared" si="13"/>
        <v>5.173</v>
      </c>
      <c r="AK17" s="106">
        <f t="shared" si="14"/>
        <v>2.3610000000000002</v>
      </c>
      <c r="AL17" s="106">
        <f t="shared" si="15"/>
        <v>4.8220000000000001</v>
      </c>
      <c r="AM17" s="106">
        <f t="shared" si="16"/>
        <v>1.9319999999999999</v>
      </c>
      <c r="AN17" s="106">
        <f t="shared" si="17"/>
        <v>2.9369999999999998</v>
      </c>
      <c r="AO17" s="107">
        <f t="shared" si="18"/>
        <v>7.1</v>
      </c>
    </row>
    <row r="18" spans="1:41" x14ac:dyDescent="0.2">
      <c r="A18" s="76">
        <v>29</v>
      </c>
      <c r="B18" s="57">
        <v>4.633</v>
      </c>
      <c r="C18" s="57">
        <v>5.0449999999999999</v>
      </c>
      <c r="D18" s="98">
        <v>1.978</v>
      </c>
      <c r="E18" s="98">
        <v>0.995</v>
      </c>
      <c r="F18" s="98">
        <v>1.8580000000000001</v>
      </c>
      <c r="G18" s="98">
        <v>0.83799999999999997</v>
      </c>
      <c r="H18" s="98">
        <v>1.083</v>
      </c>
      <c r="I18" s="98">
        <v>2.6920000000000002</v>
      </c>
      <c r="J18" s="103">
        <v>6.226</v>
      </c>
      <c r="K18" s="69">
        <v>6.8040000000000003</v>
      </c>
      <c r="L18" s="69">
        <v>2.6930000000000001</v>
      </c>
      <c r="M18" s="69">
        <v>1.3129999999999999</v>
      </c>
      <c r="N18" s="69">
        <v>2.5219999999999998</v>
      </c>
      <c r="O18" s="69">
        <v>1.095</v>
      </c>
      <c r="P18" s="69">
        <v>1.498</v>
      </c>
      <c r="Q18" s="85">
        <v>3.6920000000000002</v>
      </c>
      <c r="R18" s="84">
        <v>8</v>
      </c>
      <c r="S18" s="70">
        <v>8.77</v>
      </c>
      <c r="T18" s="72">
        <v>3.51</v>
      </c>
      <c r="U18" s="72">
        <v>1.6659999999999999</v>
      </c>
      <c r="V18" s="72">
        <v>3.2810000000000001</v>
      </c>
      <c r="W18" s="72">
        <v>1.3779999999999999</v>
      </c>
      <c r="X18" s="69">
        <v>1.974</v>
      </c>
      <c r="Y18" s="85">
        <v>4.8259999999999996</v>
      </c>
      <c r="Z18" s="100">
        <v>11.57</v>
      </c>
      <c r="AA18" s="100">
        <v>12.744</v>
      </c>
      <c r="AB18" s="100">
        <v>5.2060000000000004</v>
      </c>
      <c r="AC18" s="100">
        <v>2.375</v>
      </c>
      <c r="AD18" s="100">
        <v>4.8520000000000003</v>
      </c>
      <c r="AE18" s="100">
        <v>1.9419999999999999</v>
      </c>
      <c r="AF18" s="100">
        <v>2.9630000000000001</v>
      </c>
      <c r="AG18" s="101">
        <v>7.1630000000000003</v>
      </c>
      <c r="AH18" s="105">
        <f t="shared" si="11"/>
        <v>11.57</v>
      </c>
      <c r="AI18" s="106">
        <f t="shared" si="12"/>
        <v>12.744</v>
      </c>
      <c r="AJ18" s="106">
        <f t="shared" si="13"/>
        <v>5.2060000000000004</v>
      </c>
      <c r="AK18" s="106">
        <f t="shared" si="14"/>
        <v>2.375</v>
      </c>
      <c r="AL18" s="106">
        <f t="shared" si="15"/>
        <v>4.8520000000000003</v>
      </c>
      <c r="AM18" s="106">
        <f t="shared" si="16"/>
        <v>1.9419999999999999</v>
      </c>
      <c r="AN18" s="106">
        <f t="shared" si="17"/>
        <v>2.9630000000000001</v>
      </c>
      <c r="AO18" s="107">
        <f t="shared" si="18"/>
        <v>7.1630000000000003</v>
      </c>
    </row>
    <row r="19" spans="1:41" x14ac:dyDescent="0.2">
      <c r="A19" s="75">
        <v>30</v>
      </c>
      <c r="B19" s="57">
        <v>4.7640000000000002</v>
      </c>
      <c r="C19" s="57">
        <v>5.1859999999999999</v>
      </c>
      <c r="D19" s="97">
        <v>2.0249999999999999</v>
      </c>
      <c r="E19" s="97">
        <v>1.018</v>
      </c>
      <c r="F19" s="97">
        <v>1.901</v>
      </c>
      <c r="G19" s="97">
        <v>0.85699999999999998</v>
      </c>
      <c r="H19" s="97">
        <v>1.113</v>
      </c>
      <c r="I19" s="97">
        <v>2.7679999999999998</v>
      </c>
      <c r="J19" s="84">
        <v>6.3630000000000004</v>
      </c>
      <c r="K19" s="70">
        <v>6.952</v>
      </c>
      <c r="L19" s="70">
        <v>2.742</v>
      </c>
      <c r="M19" s="70">
        <v>1.3360000000000001</v>
      </c>
      <c r="N19" s="70">
        <v>2.5680000000000001</v>
      </c>
      <c r="O19" s="70">
        <v>1.113</v>
      </c>
      <c r="P19" s="70">
        <v>1.5309999999999999</v>
      </c>
      <c r="Q19" s="104">
        <v>3.7719999999999998</v>
      </c>
      <c r="R19" s="84">
        <v>8.1340000000000003</v>
      </c>
      <c r="S19" s="70">
        <v>8.9139999999999997</v>
      </c>
      <c r="T19" s="72">
        <v>3.5569999999999999</v>
      </c>
      <c r="U19" s="72">
        <v>1.6870000000000001</v>
      </c>
      <c r="V19" s="72">
        <v>3.3239999999999998</v>
      </c>
      <c r="W19" s="72">
        <v>1.3939999999999999</v>
      </c>
      <c r="X19" s="69">
        <v>2.0070000000000001</v>
      </c>
      <c r="Y19" s="85">
        <v>4.9059999999999997</v>
      </c>
      <c r="Z19" s="100">
        <v>11.675000000000001</v>
      </c>
      <c r="AA19" s="100">
        <v>12.856999999999999</v>
      </c>
      <c r="AB19" s="100">
        <v>5.2389999999999999</v>
      </c>
      <c r="AC19" s="100">
        <v>2.3879999999999999</v>
      </c>
      <c r="AD19" s="100">
        <v>4.883</v>
      </c>
      <c r="AE19" s="100">
        <v>1.952</v>
      </c>
      <c r="AF19" s="100">
        <v>2.99</v>
      </c>
      <c r="AG19" s="101">
        <v>7.2270000000000003</v>
      </c>
      <c r="AH19" s="105">
        <f t="shared" si="11"/>
        <v>11.675000000000001</v>
      </c>
      <c r="AI19" s="106">
        <f t="shared" si="12"/>
        <v>12.856999999999999</v>
      </c>
      <c r="AJ19" s="106">
        <f t="shared" si="13"/>
        <v>5.2389999999999999</v>
      </c>
      <c r="AK19" s="106">
        <f t="shared" si="14"/>
        <v>2.3879999999999999</v>
      </c>
      <c r="AL19" s="106">
        <f t="shared" si="15"/>
        <v>4.883</v>
      </c>
      <c r="AM19" s="106">
        <f t="shared" si="16"/>
        <v>1.952</v>
      </c>
      <c r="AN19" s="106">
        <f t="shared" si="17"/>
        <v>2.99</v>
      </c>
      <c r="AO19" s="107">
        <f t="shared" si="18"/>
        <v>7.2270000000000003</v>
      </c>
    </row>
    <row r="20" spans="1:41" x14ac:dyDescent="0.2">
      <c r="A20" s="76">
        <v>31</v>
      </c>
      <c r="B20" s="57">
        <v>4.899</v>
      </c>
      <c r="C20" s="57">
        <v>5.3319999999999999</v>
      </c>
      <c r="D20" s="98">
        <v>2.073</v>
      </c>
      <c r="E20" s="98">
        <v>1.0409999999999999</v>
      </c>
      <c r="F20" s="98">
        <v>1.946</v>
      </c>
      <c r="G20" s="98">
        <v>0.875</v>
      </c>
      <c r="H20" s="98">
        <v>1.145</v>
      </c>
      <c r="I20" s="98">
        <v>2.8450000000000002</v>
      </c>
      <c r="J20" s="103">
        <v>6.5030000000000001</v>
      </c>
      <c r="K20" s="69">
        <v>7.1040000000000001</v>
      </c>
      <c r="L20" s="69">
        <v>2.7919999999999998</v>
      </c>
      <c r="M20" s="69">
        <v>1.359</v>
      </c>
      <c r="N20" s="69">
        <v>2.6139999999999999</v>
      </c>
      <c r="O20" s="69">
        <v>1.131</v>
      </c>
      <c r="P20" s="69">
        <v>1.5649999999999999</v>
      </c>
      <c r="Q20" s="85">
        <v>3.8540000000000001</v>
      </c>
      <c r="R20" s="84">
        <v>8.27</v>
      </c>
      <c r="S20" s="70">
        <v>9.0619999999999994</v>
      </c>
      <c r="T20" s="72">
        <v>3.605</v>
      </c>
      <c r="U20" s="72">
        <v>1.708</v>
      </c>
      <c r="V20" s="72">
        <v>3.3679999999999999</v>
      </c>
      <c r="W20" s="72">
        <v>1.41</v>
      </c>
      <c r="X20" s="69">
        <v>2.04</v>
      </c>
      <c r="Y20" s="85">
        <v>4.9870000000000001</v>
      </c>
      <c r="Z20" s="100">
        <v>11.781000000000001</v>
      </c>
      <c r="AA20" s="100">
        <v>12.971</v>
      </c>
      <c r="AB20" s="100">
        <v>5.2720000000000002</v>
      </c>
      <c r="AC20" s="100">
        <v>2.4009999999999998</v>
      </c>
      <c r="AD20" s="100">
        <v>4.9119999999999999</v>
      </c>
      <c r="AE20" s="100">
        <v>1.9610000000000001</v>
      </c>
      <c r="AF20" s="100">
        <v>3.0179999999999998</v>
      </c>
      <c r="AG20" s="101">
        <v>7.2910000000000004</v>
      </c>
      <c r="AH20" s="105">
        <f t="shared" si="11"/>
        <v>11.781000000000001</v>
      </c>
      <c r="AI20" s="106">
        <f t="shared" si="12"/>
        <v>12.971</v>
      </c>
      <c r="AJ20" s="106">
        <f t="shared" si="13"/>
        <v>5.2720000000000002</v>
      </c>
      <c r="AK20" s="106">
        <f t="shared" si="14"/>
        <v>2.4009999999999998</v>
      </c>
      <c r="AL20" s="106">
        <f t="shared" si="15"/>
        <v>4.9119999999999999</v>
      </c>
      <c r="AM20" s="106">
        <f t="shared" si="16"/>
        <v>1.9610000000000001</v>
      </c>
      <c r="AN20" s="106">
        <f t="shared" si="17"/>
        <v>3.0179999999999998</v>
      </c>
      <c r="AO20" s="107">
        <f t="shared" si="18"/>
        <v>7.2910000000000004</v>
      </c>
    </row>
    <row r="21" spans="1:41" x14ac:dyDescent="0.2">
      <c r="A21" s="75">
        <v>32</v>
      </c>
      <c r="B21" s="57">
        <v>5.0380000000000003</v>
      </c>
      <c r="C21" s="57">
        <v>5.4820000000000002</v>
      </c>
      <c r="D21" s="97">
        <v>2.1219999999999999</v>
      </c>
      <c r="E21" s="97">
        <v>1.0649999999999999</v>
      </c>
      <c r="F21" s="97">
        <v>1.9910000000000001</v>
      </c>
      <c r="G21" s="97">
        <v>0.89400000000000002</v>
      </c>
      <c r="H21" s="97">
        <v>1.177</v>
      </c>
      <c r="I21" s="97">
        <v>2.9249999999999998</v>
      </c>
      <c r="J21" s="84">
        <v>6.6470000000000002</v>
      </c>
      <c r="K21" s="70">
        <v>7.2590000000000003</v>
      </c>
      <c r="L21" s="70">
        <v>2.8420000000000001</v>
      </c>
      <c r="M21" s="70">
        <v>1.3819999999999999</v>
      </c>
      <c r="N21" s="70">
        <v>2.66</v>
      </c>
      <c r="O21" s="70">
        <v>1.149</v>
      </c>
      <c r="P21" s="70">
        <v>1.599</v>
      </c>
      <c r="Q21" s="104">
        <v>3.9390000000000001</v>
      </c>
      <c r="R21" s="84">
        <v>8.4090000000000007</v>
      </c>
      <c r="S21" s="70">
        <v>9.2119999999999997</v>
      </c>
      <c r="T21" s="72">
        <v>3.6520000000000001</v>
      </c>
      <c r="U21" s="72">
        <v>1.728</v>
      </c>
      <c r="V21" s="72">
        <v>3.411</v>
      </c>
      <c r="W21" s="72">
        <v>1.4259999999999999</v>
      </c>
      <c r="X21" s="69">
        <v>2.0750000000000002</v>
      </c>
      <c r="Y21" s="85">
        <v>5.07</v>
      </c>
      <c r="Z21" s="100">
        <v>11.888</v>
      </c>
      <c r="AA21" s="100">
        <v>13.087</v>
      </c>
      <c r="AB21" s="100">
        <v>5.3049999999999997</v>
      </c>
      <c r="AC21" s="100">
        <v>2.4140000000000001</v>
      </c>
      <c r="AD21" s="100">
        <v>4.9420000000000002</v>
      </c>
      <c r="AE21" s="100">
        <v>1.97</v>
      </c>
      <c r="AF21" s="100">
        <v>3.0449999999999999</v>
      </c>
      <c r="AG21" s="101">
        <v>7.3559999999999999</v>
      </c>
      <c r="AH21" s="105">
        <f t="shared" si="11"/>
        <v>11.888</v>
      </c>
      <c r="AI21" s="106">
        <f t="shared" si="12"/>
        <v>13.087</v>
      </c>
      <c r="AJ21" s="106">
        <f t="shared" si="13"/>
        <v>5.3049999999999997</v>
      </c>
      <c r="AK21" s="106">
        <f t="shared" si="14"/>
        <v>2.4140000000000001</v>
      </c>
      <c r="AL21" s="106">
        <f t="shared" si="15"/>
        <v>4.9420000000000002</v>
      </c>
      <c r="AM21" s="106">
        <f t="shared" si="16"/>
        <v>1.97</v>
      </c>
      <c r="AN21" s="106">
        <f t="shared" si="17"/>
        <v>3.0449999999999999</v>
      </c>
      <c r="AO21" s="107">
        <f t="shared" si="18"/>
        <v>7.3559999999999999</v>
      </c>
    </row>
    <row r="22" spans="1:41" x14ac:dyDescent="0.2">
      <c r="A22" s="76">
        <v>33</v>
      </c>
      <c r="B22" s="57">
        <v>5.18</v>
      </c>
      <c r="C22" s="57">
        <v>5.6360000000000001</v>
      </c>
      <c r="D22" s="98">
        <v>2.1709999999999998</v>
      </c>
      <c r="E22" s="98">
        <v>1.0880000000000001</v>
      </c>
      <c r="F22" s="98">
        <v>2.0369999999999999</v>
      </c>
      <c r="G22" s="98">
        <v>0.91200000000000003</v>
      </c>
      <c r="H22" s="98">
        <v>1.2110000000000001</v>
      </c>
      <c r="I22" s="98">
        <v>3.008</v>
      </c>
      <c r="J22" s="103">
        <v>6.7930000000000001</v>
      </c>
      <c r="K22" s="69">
        <v>7.4169999999999998</v>
      </c>
      <c r="L22" s="69">
        <v>2.8929999999999998</v>
      </c>
      <c r="M22" s="69">
        <v>1.4039999999999999</v>
      </c>
      <c r="N22" s="69">
        <v>2.706</v>
      </c>
      <c r="O22" s="69">
        <v>1.1659999999999999</v>
      </c>
      <c r="P22" s="69">
        <v>1.635</v>
      </c>
      <c r="Q22" s="85">
        <v>4.0250000000000004</v>
      </c>
      <c r="R22" s="84">
        <v>8.5500000000000007</v>
      </c>
      <c r="S22" s="70">
        <v>9.3650000000000002</v>
      </c>
      <c r="T22" s="72">
        <v>3.7</v>
      </c>
      <c r="U22" s="72">
        <v>1.7490000000000001</v>
      </c>
      <c r="V22" s="72">
        <v>3.4550000000000001</v>
      </c>
      <c r="W22" s="72">
        <v>1.4410000000000001</v>
      </c>
      <c r="X22" s="69">
        <v>2.109</v>
      </c>
      <c r="Y22" s="85">
        <v>5.1539999999999999</v>
      </c>
      <c r="Z22" s="100">
        <v>11.997</v>
      </c>
      <c r="AA22" s="100">
        <v>13.204000000000001</v>
      </c>
      <c r="AB22" s="100">
        <v>5.3369999999999997</v>
      </c>
      <c r="AC22" s="100">
        <v>2.4260000000000002</v>
      </c>
      <c r="AD22" s="100">
        <v>4.9710000000000001</v>
      </c>
      <c r="AE22" s="100">
        <v>1.9770000000000001</v>
      </c>
      <c r="AF22" s="100">
        <v>3.073</v>
      </c>
      <c r="AG22" s="101">
        <v>7.4219999999999997</v>
      </c>
      <c r="AH22" s="105">
        <f t="shared" si="11"/>
        <v>11.997</v>
      </c>
      <c r="AI22" s="106">
        <f t="shared" si="12"/>
        <v>13.204000000000001</v>
      </c>
      <c r="AJ22" s="106">
        <f t="shared" si="13"/>
        <v>5.3369999999999997</v>
      </c>
      <c r="AK22" s="106">
        <f t="shared" si="14"/>
        <v>2.4260000000000002</v>
      </c>
      <c r="AL22" s="106">
        <f t="shared" si="15"/>
        <v>4.9710000000000001</v>
      </c>
      <c r="AM22" s="106">
        <f t="shared" si="16"/>
        <v>1.9770000000000001</v>
      </c>
      <c r="AN22" s="106">
        <f t="shared" si="17"/>
        <v>3.073</v>
      </c>
      <c r="AO22" s="107">
        <f t="shared" si="18"/>
        <v>7.4219999999999997</v>
      </c>
    </row>
    <row r="23" spans="1:41" x14ac:dyDescent="0.2">
      <c r="A23" s="75">
        <v>34</v>
      </c>
      <c r="B23" s="57">
        <v>5.327</v>
      </c>
      <c r="C23" s="57">
        <v>5.7949999999999999</v>
      </c>
      <c r="D23" s="97">
        <v>2.222</v>
      </c>
      <c r="E23" s="97">
        <v>1.1120000000000001</v>
      </c>
      <c r="F23" s="97">
        <v>2.0830000000000002</v>
      </c>
      <c r="G23" s="97">
        <v>0.93100000000000005</v>
      </c>
      <c r="H23" s="97">
        <v>1.2450000000000001</v>
      </c>
      <c r="I23" s="97">
        <v>3.093</v>
      </c>
      <c r="J23" s="84">
        <v>6.9429999999999996</v>
      </c>
      <c r="K23" s="70">
        <v>7.58</v>
      </c>
      <c r="L23" s="70">
        <v>2.9430000000000001</v>
      </c>
      <c r="M23" s="70">
        <v>1.427</v>
      </c>
      <c r="N23" s="70">
        <v>2.7530000000000001</v>
      </c>
      <c r="O23" s="70">
        <v>1.1839999999999999</v>
      </c>
      <c r="P23" s="70">
        <v>1.671</v>
      </c>
      <c r="Q23" s="104">
        <v>4.1130000000000004</v>
      </c>
      <c r="R23" s="84">
        <v>8.6929999999999996</v>
      </c>
      <c r="S23" s="70">
        <v>9.52</v>
      </c>
      <c r="T23" s="72">
        <v>3.7469999999999999</v>
      </c>
      <c r="U23" s="72">
        <v>1.7689999999999999</v>
      </c>
      <c r="V23" s="72">
        <v>3.4980000000000002</v>
      </c>
      <c r="W23" s="72">
        <v>1.4570000000000001</v>
      </c>
      <c r="X23" s="69">
        <v>2.145</v>
      </c>
      <c r="Y23" s="85">
        <v>5.24</v>
      </c>
      <c r="Z23" s="100">
        <v>12.106</v>
      </c>
      <c r="AA23" s="100">
        <v>13.321999999999999</v>
      </c>
      <c r="AB23" s="100">
        <v>5.3680000000000003</v>
      </c>
      <c r="AC23" s="100">
        <v>2.4369999999999998</v>
      </c>
      <c r="AD23" s="100">
        <v>4.9980000000000002</v>
      </c>
      <c r="AE23" s="100">
        <v>1.9850000000000001</v>
      </c>
      <c r="AF23" s="100">
        <v>3.101</v>
      </c>
      <c r="AG23" s="101">
        <v>7.4880000000000004</v>
      </c>
      <c r="AH23" s="105">
        <f t="shared" si="11"/>
        <v>12.106</v>
      </c>
      <c r="AI23" s="106">
        <f t="shared" si="12"/>
        <v>13.321999999999999</v>
      </c>
      <c r="AJ23" s="106">
        <f t="shared" si="13"/>
        <v>5.3680000000000003</v>
      </c>
      <c r="AK23" s="106">
        <f t="shared" si="14"/>
        <v>2.4369999999999998</v>
      </c>
      <c r="AL23" s="106">
        <f t="shared" si="15"/>
        <v>4.9980000000000002</v>
      </c>
      <c r="AM23" s="106">
        <f t="shared" si="16"/>
        <v>1.9850000000000001</v>
      </c>
      <c r="AN23" s="106">
        <f t="shared" si="17"/>
        <v>3.101</v>
      </c>
      <c r="AO23" s="107">
        <f t="shared" si="18"/>
        <v>7.4880000000000004</v>
      </c>
    </row>
    <row r="24" spans="1:41" x14ac:dyDescent="0.2">
      <c r="A24" s="76">
        <v>35</v>
      </c>
      <c r="B24" s="57">
        <v>5.4790000000000001</v>
      </c>
      <c r="C24" s="57">
        <v>5.9589999999999996</v>
      </c>
      <c r="D24" s="98">
        <v>2.2719999999999998</v>
      </c>
      <c r="E24" s="98">
        <v>1.135</v>
      </c>
      <c r="F24" s="98">
        <v>2.129</v>
      </c>
      <c r="G24" s="98">
        <v>0.95</v>
      </c>
      <c r="H24" s="98">
        <v>1.28</v>
      </c>
      <c r="I24" s="98">
        <v>3.18</v>
      </c>
      <c r="J24" s="103">
        <v>7.0960000000000001</v>
      </c>
      <c r="K24" s="69">
        <v>7.7460000000000004</v>
      </c>
      <c r="L24" s="69">
        <v>2.9940000000000002</v>
      </c>
      <c r="M24" s="69">
        <v>1.45</v>
      </c>
      <c r="N24" s="69">
        <v>2.7989999999999999</v>
      </c>
      <c r="O24" s="69">
        <v>1.202</v>
      </c>
      <c r="P24" s="69">
        <v>1.708</v>
      </c>
      <c r="Q24" s="85">
        <v>4.2030000000000003</v>
      </c>
      <c r="R24" s="84">
        <v>8.8390000000000004</v>
      </c>
      <c r="S24" s="70">
        <v>9.6790000000000003</v>
      </c>
      <c r="T24" s="72">
        <v>3.794</v>
      </c>
      <c r="U24" s="72">
        <v>1.7889999999999999</v>
      </c>
      <c r="V24" s="72">
        <v>3.5409999999999999</v>
      </c>
      <c r="W24" s="72">
        <v>1.4710000000000001</v>
      </c>
      <c r="X24" s="69">
        <v>2.181</v>
      </c>
      <c r="Y24" s="85">
        <v>5.327</v>
      </c>
      <c r="Z24" s="100">
        <v>12.217000000000001</v>
      </c>
      <c r="AA24" s="100">
        <v>13.442</v>
      </c>
      <c r="AB24" s="100">
        <v>5.3979999999999997</v>
      </c>
      <c r="AC24" s="100">
        <v>2.448</v>
      </c>
      <c r="AD24" s="100">
        <v>5.0250000000000004</v>
      </c>
      <c r="AE24" s="100">
        <v>1.992</v>
      </c>
      <c r="AF24" s="100">
        <v>3.129</v>
      </c>
      <c r="AG24" s="101">
        <v>7.556</v>
      </c>
      <c r="AH24" s="105">
        <f t="shared" si="11"/>
        <v>12.217000000000001</v>
      </c>
      <c r="AI24" s="106">
        <f t="shared" si="12"/>
        <v>13.442</v>
      </c>
      <c r="AJ24" s="106">
        <f t="shared" si="13"/>
        <v>5.3979999999999997</v>
      </c>
      <c r="AK24" s="106">
        <f t="shared" si="14"/>
        <v>2.448</v>
      </c>
      <c r="AL24" s="106">
        <f t="shared" si="15"/>
        <v>5.0250000000000004</v>
      </c>
      <c r="AM24" s="106">
        <f t="shared" si="16"/>
        <v>1.992</v>
      </c>
      <c r="AN24" s="106">
        <f t="shared" si="17"/>
        <v>3.129</v>
      </c>
      <c r="AO24" s="107">
        <f t="shared" si="18"/>
        <v>7.556</v>
      </c>
    </row>
    <row r="25" spans="1:41" x14ac:dyDescent="0.2">
      <c r="A25" s="75">
        <v>36</v>
      </c>
      <c r="B25" s="57">
        <v>5.6340000000000003</v>
      </c>
      <c r="C25" s="57">
        <v>6.1269999999999998</v>
      </c>
      <c r="D25" s="97">
        <v>2.323</v>
      </c>
      <c r="E25" s="97">
        <v>1.159</v>
      </c>
      <c r="F25" s="97">
        <v>2.1760000000000002</v>
      </c>
      <c r="G25" s="97">
        <v>0.96799999999999997</v>
      </c>
      <c r="H25" s="97">
        <v>1.3169999999999999</v>
      </c>
      <c r="I25" s="97">
        <v>3.27</v>
      </c>
      <c r="J25" s="84">
        <v>7.2530000000000001</v>
      </c>
      <c r="K25" s="70">
        <v>7.9160000000000004</v>
      </c>
      <c r="L25" s="70">
        <v>3.0449999999999999</v>
      </c>
      <c r="M25" s="70">
        <v>1.4730000000000001</v>
      </c>
      <c r="N25" s="70">
        <v>2.8460000000000001</v>
      </c>
      <c r="O25" s="70">
        <v>1.2190000000000001</v>
      </c>
      <c r="P25" s="70">
        <v>1.7450000000000001</v>
      </c>
      <c r="Q25" s="104">
        <v>4.2949999999999999</v>
      </c>
      <c r="R25" s="84">
        <v>8.9879999999999995</v>
      </c>
      <c r="S25" s="70">
        <v>9.84</v>
      </c>
      <c r="T25" s="72">
        <v>3.8410000000000002</v>
      </c>
      <c r="U25" s="72">
        <v>1.8089999999999999</v>
      </c>
      <c r="V25" s="72">
        <v>3.5830000000000002</v>
      </c>
      <c r="W25" s="72">
        <v>1.486</v>
      </c>
      <c r="X25" s="69">
        <v>2.218</v>
      </c>
      <c r="Y25" s="85">
        <v>5.4160000000000004</v>
      </c>
      <c r="Z25" s="100">
        <v>12.33</v>
      </c>
      <c r="AA25" s="100">
        <v>13.563000000000001</v>
      </c>
      <c r="AB25" s="100">
        <v>5.4279999999999999</v>
      </c>
      <c r="AC25" s="100">
        <v>2.4590000000000001</v>
      </c>
      <c r="AD25" s="100">
        <v>5.0510000000000002</v>
      </c>
      <c r="AE25" s="100">
        <v>1.998</v>
      </c>
      <c r="AF25" s="100">
        <v>3.1579999999999999</v>
      </c>
      <c r="AG25" s="101">
        <v>7.6239999999999997</v>
      </c>
      <c r="AH25" s="105">
        <f t="shared" si="11"/>
        <v>12.33</v>
      </c>
      <c r="AI25" s="106">
        <f t="shared" si="12"/>
        <v>13.563000000000001</v>
      </c>
      <c r="AJ25" s="106">
        <f t="shared" si="13"/>
        <v>5.4279999999999999</v>
      </c>
      <c r="AK25" s="106">
        <f t="shared" si="14"/>
        <v>2.4590000000000001</v>
      </c>
      <c r="AL25" s="106">
        <f t="shared" si="15"/>
        <v>5.0510000000000002</v>
      </c>
      <c r="AM25" s="106">
        <f t="shared" si="16"/>
        <v>1.998</v>
      </c>
      <c r="AN25" s="106">
        <f t="shared" si="17"/>
        <v>3.1579999999999999</v>
      </c>
      <c r="AO25" s="107">
        <f t="shared" si="18"/>
        <v>7.6239999999999997</v>
      </c>
    </row>
    <row r="26" spans="1:41" x14ac:dyDescent="0.2">
      <c r="A26" s="76">
        <v>37</v>
      </c>
      <c r="B26" s="57">
        <v>5.7949999999999999</v>
      </c>
      <c r="C26" s="57">
        <v>6.3</v>
      </c>
      <c r="D26" s="98">
        <v>2.375</v>
      </c>
      <c r="E26" s="98">
        <v>1.1830000000000001</v>
      </c>
      <c r="F26" s="98">
        <v>2.2240000000000002</v>
      </c>
      <c r="G26" s="98">
        <v>0.98699999999999999</v>
      </c>
      <c r="H26" s="98">
        <v>1.3540000000000001</v>
      </c>
      <c r="I26" s="98">
        <v>3.3620000000000001</v>
      </c>
      <c r="J26" s="103">
        <v>7.4139999999999997</v>
      </c>
      <c r="K26" s="69">
        <v>8.09</v>
      </c>
      <c r="L26" s="69">
        <v>3.097</v>
      </c>
      <c r="M26" s="69">
        <v>1.4950000000000001</v>
      </c>
      <c r="N26" s="69">
        <v>2.8929999999999998</v>
      </c>
      <c r="O26" s="69">
        <v>1.236</v>
      </c>
      <c r="P26" s="69">
        <v>1.784</v>
      </c>
      <c r="Q26" s="85">
        <v>4.3899999999999997</v>
      </c>
      <c r="R26" s="84">
        <v>9.14</v>
      </c>
      <c r="S26" s="70">
        <v>10.005000000000001</v>
      </c>
      <c r="T26" s="72">
        <v>3.8879999999999999</v>
      </c>
      <c r="U26" s="72">
        <v>1.829</v>
      </c>
      <c r="V26" s="72">
        <v>3.6259999999999999</v>
      </c>
      <c r="W26" s="72">
        <v>1.5</v>
      </c>
      <c r="X26" s="69">
        <v>2.2549999999999999</v>
      </c>
      <c r="Y26" s="85">
        <v>5.5060000000000002</v>
      </c>
      <c r="Z26" s="100">
        <v>12.443</v>
      </c>
      <c r="AA26" s="100">
        <v>13.686</v>
      </c>
      <c r="AB26" s="100">
        <v>5.4569999999999999</v>
      </c>
      <c r="AC26" s="100">
        <v>2.468</v>
      </c>
      <c r="AD26" s="100">
        <v>5.0759999999999996</v>
      </c>
      <c r="AE26" s="100">
        <v>2.004</v>
      </c>
      <c r="AF26" s="100">
        <v>3.1869999999999998</v>
      </c>
      <c r="AG26" s="101">
        <v>7.6929999999999996</v>
      </c>
      <c r="AH26" s="105">
        <f t="shared" si="11"/>
        <v>12.443</v>
      </c>
      <c r="AI26" s="106">
        <f t="shared" si="12"/>
        <v>13.686</v>
      </c>
      <c r="AJ26" s="106">
        <f t="shared" si="13"/>
        <v>5.4569999999999999</v>
      </c>
      <c r="AK26" s="106">
        <f t="shared" si="14"/>
        <v>2.468</v>
      </c>
      <c r="AL26" s="106">
        <f t="shared" si="15"/>
        <v>5.0759999999999996</v>
      </c>
      <c r="AM26" s="106">
        <f t="shared" si="16"/>
        <v>2.004</v>
      </c>
      <c r="AN26" s="106">
        <f t="shared" si="17"/>
        <v>3.1869999999999998</v>
      </c>
      <c r="AO26" s="107">
        <f t="shared" si="18"/>
        <v>7.6929999999999996</v>
      </c>
    </row>
    <row r="27" spans="1:41" x14ac:dyDescent="0.2">
      <c r="A27" s="75">
        <v>38</v>
      </c>
      <c r="B27" s="57">
        <v>5.96</v>
      </c>
      <c r="C27" s="57">
        <v>6.4790000000000001</v>
      </c>
      <c r="D27" s="97">
        <v>2.4279999999999999</v>
      </c>
      <c r="E27" s="97">
        <v>1.208</v>
      </c>
      <c r="F27" s="97">
        <v>2.2730000000000001</v>
      </c>
      <c r="G27" s="97">
        <v>1.006</v>
      </c>
      <c r="H27" s="97">
        <v>1.393</v>
      </c>
      <c r="I27" s="97">
        <v>3.4569999999999999</v>
      </c>
      <c r="J27" s="84">
        <v>7.5780000000000003</v>
      </c>
      <c r="K27" s="70">
        <v>8.2680000000000007</v>
      </c>
      <c r="L27" s="70">
        <v>3.149</v>
      </c>
      <c r="M27" s="70">
        <v>1.518</v>
      </c>
      <c r="N27" s="70">
        <v>2.9409999999999998</v>
      </c>
      <c r="O27" s="70">
        <v>1.2529999999999999</v>
      </c>
      <c r="P27" s="70">
        <v>1.823</v>
      </c>
      <c r="Q27" s="104">
        <v>4.4859999999999998</v>
      </c>
      <c r="R27" s="84">
        <v>9.2940000000000005</v>
      </c>
      <c r="S27" s="70">
        <v>10.172000000000001</v>
      </c>
      <c r="T27" s="72">
        <v>3.9350000000000001</v>
      </c>
      <c r="U27" s="72">
        <v>1.8480000000000001</v>
      </c>
      <c r="V27" s="72">
        <v>3.669</v>
      </c>
      <c r="W27" s="72">
        <v>1.514</v>
      </c>
      <c r="X27" s="69">
        <v>2.2930000000000001</v>
      </c>
      <c r="Y27" s="85">
        <v>5.5979999999999999</v>
      </c>
      <c r="Z27" s="100">
        <v>12.558</v>
      </c>
      <c r="AA27" s="100">
        <v>13.81</v>
      </c>
      <c r="AB27" s="100">
        <v>5.4850000000000003</v>
      </c>
      <c r="AC27" s="100">
        <v>2.4780000000000002</v>
      </c>
      <c r="AD27" s="100">
        <v>5.101</v>
      </c>
      <c r="AE27" s="100">
        <v>2.0089999999999999</v>
      </c>
      <c r="AF27" s="100">
        <v>3.2170000000000001</v>
      </c>
      <c r="AG27" s="101">
        <v>7.7629999999999999</v>
      </c>
      <c r="AH27" s="105">
        <f t="shared" si="11"/>
        <v>12.558</v>
      </c>
      <c r="AI27" s="106">
        <f t="shared" si="12"/>
        <v>13.81</v>
      </c>
      <c r="AJ27" s="106">
        <f t="shared" si="13"/>
        <v>5.4850000000000003</v>
      </c>
      <c r="AK27" s="106">
        <f t="shared" si="14"/>
        <v>2.4780000000000002</v>
      </c>
      <c r="AL27" s="106">
        <f t="shared" si="15"/>
        <v>5.101</v>
      </c>
      <c r="AM27" s="106">
        <f t="shared" si="16"/>
        <v>2.0089999999999999</v>
      </c>
      <c r="AN27" s="106">
        <f t="shared" si="17"/>
        <v>3.2170000000000001</v>
      </c>
      <c r="AO27" s="107">
        <f t="shared" si="18"/>
        <v>7.7629999999999999</v>
      </c>
    </row>
    <row r="28" spans="1:41" x14ac:dyDescent="0.2">
      <c r="A28" s="76">
        <v>39</v>
      </c>
      <c r="B28" s="57">
        <v>6.1289999999999996</v>
      </c>
      <c r="C28" s="57">
        <v>6.6619999999999999</v>
      </c>
      <c r="D28" s="98">
        <v>2.4820000000000002</v>
      </c>
      <c r="E28" s="98">
        <v>1.232</v>
      </c>
      <c r="F28" s="98">
        <v>2.3220000000000001</v>
      </c>
      <c r="G28" s="98">
        <v>1.024</v>
      </c>
      <c r="H28" s="98">
        <v>1.4319999999999999</v>
      </c>
      <c r="I28" s="98">
        <v>3.5550000000000002</v>
      </c>
      <c r="J28" s="103">
        <v>7.7469999999999999</v>
      </c>
      <c r="K28" s="69">
        <v>8.4499999999999993</v>
      </c>
      <c r="L28" s="69">
        <v>3.202</v>
      </c>
      <c r="M28" s="69">
        <v>1.54</v>
      </c>
      <c r="N28" s="69">
        <v>2.9889999999999999</v>
      </c>
      <c r="O28" s="69">
        <v>1.2689999999999999</v>
      </c>
      <c r="P28" s="69">
        <v>1.8640000000000001</v>
      </c>
      <c r="Q28" s="85">
        <v>4.585</v>
      </c>
      <c r="R28" s="84">
        <v>9.452</v>
      </c>
      <c r="S28" s="70">
        <v>10.343</v>
      </c>
      <c r="T28" s="72">
        <v>3.9830000000000001</v>
      </c>
      <c r="U28" s="72">
        <v>1.867</v>
      </c>
      <c r="V28" s="72">
        <v>3.7120000000000002</v>
      </c>
      <c r="W28" s="72">
        <v>1.5269999999999999</v>
      </c>
      <c r="X28" s="69">
        <v>2.3319999999999999</v>
      </c>
      <c r="Y28" s="85">
        <v>5.6920000000000002</v>
      </c>
      <c r="Z28" s="100">
        <v>12.675000000000001</v>
      </c>
      <c r="AA28" s="100">
        <v>13.936999999999999</v>
      </c>
      <c r="AB28" s="100">
        <v>5.5140000000000002</v>
      </c>
      <c r="AC28" s="100">
        <v>2.4860000000000002</v>
      </c>
      <c r="AD28" s="100">
        <v>5.1260000000000003</v>
      </c>
      <c r="AE28" s="100">
        <v>2.0129999999999999</v>
      </c>
      <c r="AF28" s="100">
        <v>3.246</v>
      </c>
      <c r="AG28" s="101">
        <v>7.8339999999999996</v>
      </c>
      <c r="AH28" s="105">
        <f t="shared" si="11"/>
        <v>12.675000000000001</v>
      </c>
      <c r="AI28" s="106">
        <f t="shared" si="12"/>
        <v>13.936999999999999</v>
      </c>
      <c r="AJ28" s="106">
        <f t="shared" si="13"/>
        <v>5.5140000000000002</v>
      </c>
      <c r="AK28" s="106">
        <f t="shared" si="14"/>
        <v>2.4860000000000002</v>
      </c>
      <c r="AL28" s="106">
        <f t="shared" si="15"/>
        <v>5.1260000000000003</v>
      </c>
      <c r="AM28" s="106">
        <f t="shared" si="16"/>
        <v>2.0129999999999999</v>
      </c>
      <c r="AN28" s="106">
        <f t="shared" si="17"/>
        <v>3.246</v>
      </c>
      <c r="AO28" s="107">
        <f t="shared" si="18"/>
        <v>7.8339999999999996</v>
      </c>
    </row>
    <row r="29" spans="1:41" x14ac:dyDescent="0.2">
      <c r="A29" s="75">
        <v>40</v>
      </c>
      <c r="B29" s="57">
        <v>6.3040000000000003</v>
      </c>
      <c r="C29" s="57">
        <v>6.851</v>
      </c>
      <c r="D29" s="97">
        <v>2.5369999999999999</v>
      </c>
      <c r="E29" s="97">
        <v>1.256</v>
      </c>
      <c r="F29" s="97">
        <v>2.3730000000000002</v>
      </c>
      <c r="G29" s="97">
        <v>1.042</v>
      </c>
      <c r="H29" s="97">
        <v>1.4730000000000001</v>
      </c>
      <c r="I29" s="97">
        <v>3.6560000000000001</v>
      </c>
      <c r="J29" s="84">
        <v>7.9189999999999996</v>
      </c>
      <c r="K29" s="70">
        <v>8.6370000000000005</v>
      </c>
      <c r="L29" s="70">
        <v>3.2549999999999999</v>
      </c>
      <c r="M29" s="70">
        <v>1.5620000000000001</v>
      </c>
      <c r="N29" s="70">
        <v>3.0379999999999998</v>
      </c>
      <c r="O29" s="70">
        <v>1.2849999999999999</v>
      </c>
      <c r="P29" s="70">
        <v>1.905</v>
      </c>
      <c r="Q29" s="104">
        <v>4.6859999999999999</v>
      </c>
      <c r="R29" s="84">
        <v>9.6120000000000001</v>
      </c>
      <c r="S29" s="70">
        <v>10.516999999999999</v>
      </c>
      <c r="T29" s="72">
        <v>4.0309999999999997</v>
      </c>
      <c r="U29" s="72">
        <v>1.885</v>
      </c>
      <c r="V29" s="72">
        <v>3.7559999999999998</v>
      </c>
      <c r="W29" s="72">
        <v>1.54</v>
      </c>
      <c r="X29" s="69">
        <v>2.3719999999999999</v>
      </c>
      <c r="Y29" s="85">
        <v>5.7880000000000003</v>
      </c>
      <c r="Z29" s="100">
        <v>12.792999999999999</v>
      </c>
      <c r="AA29" s="100">
        <v>14.064</v>
      </c>
      <c r="AB29" s="100">
        <v>5.5419999999999998</v>
      </c>
      <c r="AC29" s="100">
        <v>2.4940000000000002</v>
      </c>
      <c r="AD29" s="100">
        <v>5.1509999999999998</v>
      </c>
      <c r="AE29" s="100">
        <v>2.0169999999999999</v>
      </c>
      <c r="AF29" s="100">
        <v>3.2770000000000001</v>
      </c>
      <c r="AG29" s="101">
        <v>7.9050000000000002</v>
      </c>
      <c r="AH29" s="105">
        <f t="shared" si="11"/>
        <v>12.792999999999999</v>
      </c>
      <c r="AI29" s="106">
        <f t="shared" si="12"/>
        <v>14.064</v>
      </c>
      <c r="AJ29" s="106">
        <f t="shared" si="13"/>
        <v>5.5419999999999998</v>
      </c>
      <c r="AK29" s="106">
        <f t="shared" si="14"/>
        <v>2.4940000000000002</v>
      </c>
      <c r="AL29" s="106">
        <f t="shared" si="15"/>
        <v>5.1509999999999998</v>
      </c>
      <c r="AM29" s="106">
        <f t="shared" si="16"/>
        <v>2.0169999999999999</v>
      </c>
      <c r="AN29" s="106">
        <f t="shared" si="17"/>
        <v>3.2770000000000001</v>
      </c>
      <c r="AO29" s="107">
        <f t="shared" si="18"/>
        <v>7.9050000000000002</v>
      </c>
    </row>
    <row r="30" spans="1:41" x14ac:dyDescent="0.2">
      <c r="A30" s="76">
        <v>41</v>
      </c>
      <c r="B30" s="57">
        <v>6.484</v>
      </c>
      <c r="C30" s="57">
        <v>7.0460000000000003</v>
      </c>
      <c r="D30" s="98">
        <v>2.593</v>
      </c>
      <c r="E30" s="98">
        <v>1.28</v>
      </c>
      <c r="F30" s="98">
        <v>2.4249999999999998</v>
      </c>
      <c r="G30" s="98">
        <v>1.06</v>
      </c>
      <c r="H30" s="98">
        <v>1.5149999999999999</v>
      </c>
      <c r="I30" s="98">
        <v>3.76</v>
      </c>
      <c r="J30" s="103">
        <v>8.0950000000000006</v>
      </c>
      <c r="K30" s="69">
        <v>8.8290000000000006</v>
      </c>
      <c r="L30" s="69">
        <v>3.3090000000000002</v>
      </c>
      <c r="M30" s="69">
        <v>1.5840000000000001</v>
      </c>
      <c r="N30" s="69">
        <v>3.0870000000000002</v>
      </c>
      <c r="O30" s="69">
        <v>1.3009999999999999</v>
      </c>
      <c r="P30" s="69">
        <v>1.948</v>
      </c>
      <c r="Q30" s="85">
        <v>4.79</v>
      </c>
      <c r="R30" s="84">
        <v>9.7759999999999998</v>
      </c>
      <c r="S30" s="70">
        <v>10.695</v>
      </c>
      <c r="T30" s="72">
        <v>4.0789999999999997</v>
      </c>
      <c r="U30" s="72">
        <v>1.903</v>
      </c>
      <c r="V30" s="72">
        <v>3.7989999999999999</v>
      </c>
      <c r="W30" s="72">
        <v>1.552</v>
      </c>
      <c r="X30" s="69">
        <v>2.4119999999999999</v>
      </c>
      <c r="Y30" s="85">
        <v>5.8860000000000001</v>
      </c>
      <c r="Z30" s="100">
        <v>12.912000000000001</v>
      </c>
      <c r="AA30" s="100">
        <v>14.194000000000001</v>
      </c>
      <c r="AB30" s="100">
        <v>5.57</v>
      </c>
      <c r="AC30" s="100">
        <v>2.5009999999999999</v>
      </c>
      <c r="AD30" s="100">
        <v>5.1749999999999998</v>
      </c>
      <c r="AE30" s="100">
        <v>2.0190000000000001</v>
      </c>
      <c r="AF30" s="100">
        <v>3.3069999999999999</v>
      </c>
      <c r="AG30" s="101">
        <v>7.9779999999999998</v>
      </c>
      <c r="AH30" s="105">
        <f t="shared" si="11"/>
        <v>12.912000000000001</v>
      </c>
      <c r="AI30" s="106">
        <f t="shared" si="12"/>
        <v>14.194000000000001</v>
      </c>
      <c r="AJ30" s="106">
        <f t="shared" si="13"/>
        <v>5.57</v>
      </c>
      <c r="AK30" s="106">
        <f t="shared" si="14"/>
        <v>2.5009999999999999</v>
      </c>
      <c r="AL30" s="106">
        <f t="shared" si="15"/>
        <v>5.1749999999999998</v>
      </c>
      <c r="AM30" s="106">
        <f t="shared" si="16"/>
        <v>2.0190000000000001</v>
      </c>
      <c r="AN30" s="106">
        <f t="shared" si="17"/>
        <v>3.3069999999999999</v>
      </c>
      <c r="AO30" s="107">
        <f t="shared" si="18"/>
        <v>7.9779999999999998</v>
      </c>
    </row>
    <row r="31" spans="1:41" x14ac:dyDescent="0.2">
      <c r="A31" s="75">
        <v>42</v>
      </c>
      <c r="B31" s="57">
        <v>6.67</v>
      </c>
      <c r="C31" s="57">
        <v>7.2469999999999999</v>
      </c>
      <c r="D31" s="97">
        <v>2.65</v>
      </c>
      <c r="E31" s="97">
        <v>1.304</v>
      </c>
      <c r="F31" s="97">
        <v>2.476</v>
      </c>
      <c r="G31" s="97">
        <v>1.0780000000000001</v>
      </c>
      <c r="H31" s="97">
        <v>1.5589999999999999</v>
      </c>
      <c r="I31" s="97">
        <v>3.867</v>
      </c>
      <c r="J31" s="84">
        <v>8.2759999999999998</v>
      </c>
      <c r="K31" s="70">
        <v>9.0250000000000004</v>
      </c>
      <c r="L31" s="70">
        <v>3.363</v>
      </c>
      <c r="M31" s="70">
        <v>1.605</v>
      </c>
      <c r="N31" s="70">
        <v>3.1360000000000001</v>
      </c>
      <c r="O31" s="70">
        <v>1.3160000000000001</v>
      </c>
      <c r="P31" s="70">
        <v>1.9910000000000001</v>
      </c>
      <c r="Q31" s="104">
        <v>4.8970000000000002</v>
      </c>
      <c r="R31" s="84">
        <v>9.9420000000000002</v>
      </c>
      <c r="S31" s="70">
        <v>10.875999999999999</v>
      </c>
      <c r="T31" s="72">
        <v>4.1269999999999998</v>
      </c>
      <c r="U31" s="72">
        <v>1.919</v>
      </c>
      <c r="V31" s="72">
        <v>3.8420000000000001</v>
      </c>
      <c r="W31" s="72">
        <v>1.5620000000000001</v>
      </c>
      <c r="X31" s="69">
        <v>2.4529999999999998</v>
      </c>
      <c r="Y31" s="85">
        <v>5.9859999999999998</v>
      </c>
      <c r="Z31" s="100">
        <v>13.034000000000001</v>
      </c>
      <c r="AA31" s="100">
        <v>14.326000000000001</v>
      </c>
      <c r="AB31" s="100">
        <v>5.5960000000000001</v>
      </c>
      <c r="AC31" s="100">
        <v>2.5059999999999998</v>
      </c>
      <c r="AD31" s="100">
        <v>5.1980000000000004</v>
      </c>
      <c r="AE31" s="100">
        <v>2.02</v>
      </c>
      <c r="AF31" s="100">
        <v>3.3380000000000001</v>
      </c>
      <c r="AG31" s="101">
        <v>8.0530000000000008</v>
      </c>
      <c r="AH31" s="105">
        <f t="shared" si="11"/>
        <v>13.034000000000001</v>
      </c>
      <c r="AI31" s="106">
        <f t="shared" si="12"/>
        <v>14.326000000000001</v>
      </c>
      <c r="AJ31" s="106">
        <f t="shared" si="13"/>
        <v>5.5960000000000001</v>
      </c>
      <c r="AK31" s="106">
        <f t="shared" si="14"/>
        <v>2.5059999999999998</v>
      </c>
      <c r="AL31" s="106">
        <f t="shared" si="15"/>
        <v>5.1980000000000004</v>
      </c>
      <c r="AM31" s="106">
        <f t="shared" si="16"/>
        <v>2.02</v>
      </c>
      <c r="AN31" s="106">
        <f t="shared" si="17"/>
        <v>3.3380000000000001</v>
      </c>
      <c r="AO31" s="107">
        <f t="shared" si="18"/>
        <v>8.0530000000000008</v>
      </c>
    </row>
    <row r="32" spans="1:41" x14ac:dyDescent="0.2">
      <c r="A32" s="76">
        <v>43</v>
      </c>
      <c r="B32" s="57">
        <v>6.8609999999999998</v>
      </c>
      <c r="C32" s="57">
        <v>7.4539999999999997</v>
      </c>
      <c r="D32" s="98">
        <v>2.7069999999999999</v>
      </c>
      <c r="E32" s="98">
        <v>1.327</v>
      </c>
      <c r="F32" s="98">
        <v>2.528</v>
      </c>
      <c r="G32" s="98">
        <v>1.095</v>
      </c>
      <c r="H32" s="98">
        <v>1.603</v>
      </c>
      <c r="I32" s="98">
        <v>3.9780000000000002</v>
      </c>
      <c r="J32" s="103">
        <v>8.4619999999999997</v>
      </c>
      <c r="K32" s="69">
        <v>9.2260000000000009</v>
      </c>
      <c r="L32" s="69">
        <v>3.4169999999999998</v>
      </c>
      <c r="M32" s="69">
        <v>1.6259999999999999</v>
      </c>
      <c r="N32" s="69">
        <v>3.1850000000000001</v>
      </c>
      <c r="O32" s="69">
        <v>1.33</v>
      </c>
      <c r="P32" s="69">
        <v>2.036</v>
      </c>
      <c r="Q32" s="85">
        <v>5.0060000000000002</v>
      </c>
      <c r="R32" s="84">
        <v>10.113</v>
      </c>
      <c r="S32" s="70">
        <v>11.061</v>
      </c>
      <c r="T32" s="72">
        <v>4.1740000000000004</v>
      </c>
      <c r="U32" s="72">
        <v>1.9350000000000001</v>
      </c>
      <c r="V32" s="72">
        <v>3.8839999999999999</v>
      </c>
      <c r="W32" s="72">
        <v>1.5720000000000001</v>
      </c>
      <c r="X32" s="69">
        <v>2.4950000000000001</v>
      </c>
      <c r="Y32" s="85">
        <v>6.0880000000000001</v>
      </c>
      <c r="Z32" s="100">
        <v>13.157</v>
      </c>
      <c r="AA32" s="100">
        <v>14.46</v>
      </c>
      <c r="AB32" s="100">
        <v>5.6219999999999999</v>
      </c>
      <c r="AC32" s="100">
        <v>2.5110000000000001</v>
      </c>
      <c r="AD32" s="100">
        <v>5.22</v>
      </c>
      <c r="AE32" s="100">
        <v>2.02</v>
      </c>
      <c r="AF32" s="100">
        <v>3.37</v>
      </c>
      <c r="AG32" s="101">
        <v>8.1280000000000001</v>
      </c>
      <c r="AH32" s="105">
        <f t="shared" si="11"/>
        <v>13.157</v>
      </c>
      <c r="AI32" s="106">
        <f t="shared" si="12"/>
        <v>14.46</v>
      </c>
      <c r="AJ32" s="106">
        <f t="shared" si="13"/>
        <v>5.6219999999999999</v>
      </c>
      <c r="AK32" s="106">
        <f t="shared" si="14"/>
        <v>2.5110000000000001</v>
      </c>
      <c r="AL32" s="106">
        <f t="shared" si="15"/>
        <v>5.22</v>
      </c>
      <c r="AM32" s="106">
        <f t="shared" si="16"/>
        <v>2.02</v>
      </c>
      <c r="AN32" s="106">
        <f t="shared" si="17"/>
        <v>3.37</v>
      </c>
      <c r="AO32" s="107">
        <f t="shared" si="18"/>
        <v>8.1280000000000001</v>
      </c>
    </row>
    <row r="33" spans="1:41" x14ac:dyDescent="0.2">
      <c r="A33" s="75">
        <v>44</v>
      </c>
      <c r="B33" s="57">
        <v>7.0590000000000002</v>
      </c>
      <c r="C33" s="57">
        <v>7.6680000000000001</v>
      </c>
      <c r="D33" s="97">
        <v>2.7639999999999998</v>
      </c>
      <c r="E33" s="97">
        <v>1.35</v>
      </c>
      <c r="F33" s="97">
        <v>2.58</v>
      </c>
      <c r="G33" s="97">
        <v>1.111</v>
      </c>
      <c r="H33" s="97">
        <v>1.65</v>
      </c>
      <c r="I33" s="97">
        <v>4.0919999999999996</v>
      </c>
      <c r="J33" s="84">
        <v>8.6519999999999992</v>
      </c>
      <c r="K33" s="70">
        <v>9.4320000000000004</v>
      </c>
      <c r="L33" s="70">
        <v>3.4710000000000001</v>
      </c>
      <c r="M33" s="70">
        <v>1.645</v>
      </c>
      <c r="N33" s="70">
        <v>3.234</v>
      </c>
      <c r="O33" s="70">
        <v>1.343</v>
      </c>
      <c r="P33" s="70">
        <v>2.0819999999999999</v>
      </c>
      <c r="Q33" s="104">
        <v>5.1180000000000003</v>
      </c>
      <c r="R33" s="84">
        <v>10.287000000000001</v>
      </c>
      <c r="S33" s="70">
        <v>11.25</v>
      </c>
      <c r="T33" s="72">
        <v>4.22</v>
      </c>
      <c r="U33" s="72">
        <v>1.95</v>
      </c>
      <c r="V33" s="72">
        <v>3.9260000000000002</v>
      </c>
      <c r="W33" s="72">
        <v>1.581</v>
      </c>
      <c r="X33" s="69">
        <v>2.5379999999999998</v>
      </c>
      <c r="Y33" s="85">
        <v>6.1920000000000002</v>
      </c>
      <c r="Z33" s="100">
        <v>13.282999999999999</v>
      </c>
      <c r="AA33" s="100">
        <v>14.597</v>
      </c>
      <c r="AB33" s="100">
        <v>5.6459999999999999</v>
      </c>
      <c r="AC33" s="100">
        <v>2.5139999999999998</v>
      </c>
      <c r="AD33" s="100">
        <v>5.24</v>
      </c>
      <c r="AE33" s="100">
        <v>2.0179999999999998</v>
      </c>
      <c r="AF33" s="100">
        <v>3.4020000000000001</v>
      </c>
      <c r="AG33" s="101">
        <v>8.2050000000000001</v>
      </c>
      <c r="AH33" s="105">
        <f t="shared" si="11"/>
        <v>13.282999999999999</v>
      </c>
      <c r="AI33" s="106">
        <f t="shared" si="12"/>
        <v>14.597</v>
      </c>
      <c r="AJ33" s="106">
        <f t="shared" si="13"/>
        <v>5.6459999999999999</v>
      </c>
      <c r="AK33" s="106">
        <f t="shared" si="14"/>
        <v>2.5139999999999998</v>
      </c>
      <c r="AL33" s="106">
        <f t="shared" si="15"/>
        <v>5.24</v>
      </c>
      <c r="AM33" s="106">
        <f t="shared" si="16"/>
        <v>2.0179999999999998</v>
      </c>
      <c r="AN33" s="106">
        <f t="shared" si="17"/>
        <v>3.4020000000000001</v>
      </c>
      <c r="AO33" s="107">
        <f t="shared" si="18"/>
        <v>8.2050000000000001</v>
      </c>
    </row>
    <row r="34" spans="1:41" x14ac:dyDescent="0.2">
      <c r="A34" s="76">
        <v>45</v>
      </c>
      <c r="B34" s="57">
        <v>7.2629999999999999</v>
      </c>
      <c r="C34" s="57">
        <v>7.8890000000000002</v>
      </c>
      <c r="D34" s="98">
        <v>2.8220000000000001</v>
      </c>
      <c r="E34" s="98">
        <v>1.3720000000000001</v>
      </c>
      <c r="F34" s="98">
        <v>2.633</v>
      </c>
      <c r="G34" s="98">
        <v>1.1259999999999999</v>
      </c>
      <c r="H34" s="98">
        <v>1.6970000000000001</v>
      </c>
      <c r="I34" s="98">
        <v>4.21</v>
      </c>
      <c r="J34" s="103">
        <v>8.8469999999999995</v>
      </c>
      <c r="K34" s="69">
        <v>9.6440000000000001</v>
      </c>
      <c r="L34" s="69">
        <v>3.5249999999999999</v>
      </c>
      <c r="M34" s="69">
        <v>1.6639999999999999</v>
      </c>
      <c r="N34" s="69">
        <v>3.282</v>
      </c>
      <c r="O34" s="69">
        <v>1.355</v>
      </c>
      <c r="P34" s="69">
        <v>2.129</v>
      </c>
      <c r="Q34" s="85">
        <v>5.2329999999999997</v>
      </c>
      <c r="R34" s="84">
        <v>10.465</v>
      </c>
      <c r="S34" s="70">
        <v>11.443</v>
      </c>
      <c r="T34" s="72">
        <v>4.266</v>
      </c>
      <c r="U34" s="72">
        <v>1.964</v>
      </c>
      <c r="V34" s="72">
        <v>3.9660000000000002</v>
      </c>
      <c r="W34" s="72">
        <v>1.5880000000000001</v>
      </c>
      <c r="X34" s="69">
        <v>2.5819999999999999</v>
      </c>
      <c r="Y34" s="85">
        <v>6.298</v>
      </c>
      <c r="Z34" s="100">
        <v>13.411</v>
      </c>
      <c r="AA34" s="100">
        <v>14.736000000000001</v>
      </c>
      <c r="AB34" s="100">
        <v>5.6689999999999996</v>
      </c>
      <c r="AC34" s="100">
        <v>2.5150000000000001</v>
      </c>
      <c r="AD34" s="100">
        <v>5.2590000000000003</v>
      </c>
      <c r="AE34" s="100">
        <v>2.0150000000000001</v>
      </c>
      <c r="AF34" s="100">
        <v>3.4350000000000001</v>
      </c>
      <c r="AG34" s="101">
        <v>8.2829999999999995</v>
      </c>
      <c r="AH34" s="105">
        <f t="shared" si="11"/>
        <v>13.411</v>
      </c>
      <c r="AI34" s="106">
        <f t="shared" si="12"/>
        <v>14.736000000000001</v>
      </c>
      <c r="AJ34" s="106">
        <f t="shared" si="13"/>
        <v>5.6689999999999996</v>
      </c>
      <c r="AK34" s="106">
        <f t="shared" si="14"/>
        <v>2.5150000000000001</v>
      </c>
      <c r="AL34" s="106">
        <f t="shared" si="15"/>
        <v>5.2590000000000003</v>
      </c>
      <c r="AM34" s="106">
        <f t="shared" si="16"/>
        <v>2.0150000000000001</v>
      </c>
      <c r="AN34" s="106">
        <f t="shared" si="17"/>
        <v>3.4350000000000001</v>
      </c>
      <c r="AO34" s="107">
        <f t="shared" si="18"/>
        <v>8.2829999999999995</v>
      </c>
    </row>
    <row r="35" spans="1:41" x14ac:dyDescent="0.2">
      <c r="A35" s="75">
        <v>46</v>
      </c>
      <c r="B35" s="57">
        <v>7.4729999999999999</v>
      </c>
      <c r="C35" s="57">
        <v>8.1170000000000009</v>
      </c>
      <c r="D35" s="97">
        <v>2.879</v>
      </c>
      <c r="E35" s="97">
        <v>1.393</v>
      </c>
      <c r="F35" s="97">
        <v>2.6850000000000001</v>
      </c>
      <c r="G35" s="97">
        <v>1.1399999999999999</v>
      </c>
      <c r="H35" s="97">
        <v>1.746</v>
      </c>
      <c r="I35" s="97">
        <v>4.3310000000000004</v>
      </c>
      <c r="J35" s="84">
        <v>9.048</v>
      </c>
      <c r="K35" s="70">
        <v>9.8620000000000001</v>
      </c>
      <c r="L35" s="70">
        <v>3.5779999999999998</v>
      </c>
      <c r="M35" s="70">
        <v>1.681</v>
      </c>
      <c r="N35" s="70">
        <v>3.33</v>
      </c>
      <c r="O35" s="70">
        <v>1.365</v>
      </c>
      <c r="P35" s="70">
        <v>2.177</v>
      </c>
      <c r="Q35" s="104">
        <v>5.351</v>
      </c>
      <c r="R35" s="84">
        <v>10.647</v>
      </c>
      <c r="S35" s="70">
        <v>11.641999999999999</v>
      </c>
      <c r="T35" s="72">
        <v>4.3109999999999999</v>
      </c>
      <c r="U35" s="72">
        <v>1.976</v>
      </c>
      <c r="V35" s="72">
        <v>4.0060000000000002</v>
      </c>
      <c r="W35" s="72">
        <v>1.5940000000000001</v>
      </c>
      <c r="X35" s="69">
        <v>2.6269999999999998</v>
      </c>
      <c r="Y35" s="85">
        <v>6.407</v>
      </c>
      <c r="Z35" s="100">
        <v>13.542</v>
      </c>
      <c r="AA35" s="100">
        <v>14.878</v>
      </c>
      <c r="AB35" s="100">
        <v>5.69</v>
      </c>
      <c r="AC35" s="100">
        <v>2.5139999999999998</v>
      </c>
      <c r="AD35" s="100">
        <v>5.2759999999999998</v>
      </c>
      <c r="AE35" s="100">
        <v>2.0089999999999999</v>
      </c>
      <c r="AF35" s="100">
        <v>3.4689999999999999</v>
      </c>
      <c r="AG35" s="101">
        <v>8.3629999999999995</v>
      </c>
      <c r="AH35" s="105">
        <f t="shared" si="11"/>
        <v>13.542</v>
      </c>
      <c r="AI35" s="106">
        <f t="shared" si="12"/>
        <v>14.878</v>
      </c>
      <c r="AJ35" s="106">
        <f t="shared" si="13"/>
        <v>5.69</v>
      </c>
      <c r="AK35" s="106">
        <f t="shared" si="14"/>
        <v>2.5139999999999998</v>
      </c>
      <c r="AL35" s="106">
        <f t="shared" si="15"/>
        <v>5.2759999999999998</v>
      </c>
      <c r="AM35" s="106">
        <f t="shared" si="16"/>
        <v>2.0089999999999999</v>
      </c>
      <c r="AN35" s="106">
        <f t="shared" si="17"/>
        <v>3.4689999999999999</v>
      </c>
      <c r="AO35" s="107">
        <f t="shared" si="18"/>
        <v>8.3629999999999995</v>
      </c>
    </row>
    <row r="36" spans="1:41" x14ac:dyDescent="0.2">
      <c r="A36" s="76">
        <v>47</v>
      </c>
      <c r="B36" s="57">
        <v>7.69</v>
      </c>
      <c r="C36" s="57">
        <v>8.3520000000000003</v>
      </c>
      <c r="D36" s="98">
        <v>2.9380000000000002</v>
      </c>
      <c r="E36" s="98">
        <v>1.413</v>
      </c>
      <c r="F36" s="98">
        <v>2.7370000000000001</v>
      </c>
      <c r="G36" s="98">
        <v>1.153</v>
      </c>
      <c r="H36" s="98">
        <v>1.7969999999999999</v>
      </c>
      <c r="I36" s="98">
        <v>4.4569999999999999</v>
      </c>
      <c r="J36" s="103">
        <v>9.2539999999999996</v>
      </c>
      <c r="K36" s="69">
        <v>10.086</v>
      </c>
      <c r="L36" s="69">
        <v>3.6309999999999998</v>
      </c>
      <c r="M36" s="69">
        <v>1.6970000000000001</v>
      </c>
      <c r="N36" s="69">
        <v>3.3769999999999998</v>
      </c>
      <c r="O36" s="69">
        <v>1.373</v>
      </c>
      <c r="P36" s="69">
        <v>2.2269999999999999</v>
      </c>
      <c r="Q36" s="85">
        <v>5.4729999999999999</v>
      </c>
      <c r="R36" s="84">
        <v>10.833</v>
      </c>
      <c r="S36" s="70">
        <v>11.845000000000001</v>
      </c>
      <c r="T36" s="72">
        <v>4.3550000000000004</v>
      </c>
      <c r="U36" s="72">
        <v>1.986</v>
      </c>
      <c r="V36" s="72">
        <v>4.0449999999999999</v>
      </c>
      <c r="W36" s="72">
        <v>1.597</v>
      </c>
      <c r="X36" s="69">
        <v>2.673</v>
      </c>
      <c r="Y36" s="85">
        <v>6.5190000000000001</v>
      </c>
      <c r="Z36" s="100">
        <v>13.675000000000001</v>
      </c>
      <c r="AA36" s="100">
        <v>15.023999999999999</v>
      </c>
      <c r="AB36" s="100">
        <v>5.71</v>
      </c>
      <c r="AC36" s="100">
        <v>2.5110000000000001</v>
      </c>
      <c r="AD36" s="100">
        <v>5.2919999999999998</v>
      </c>
      <c r="AE36" s="100">
        <v>2.0009999999999999</v>
      </c>
      <c r="AF36" s="100">
        <v>3.5030000000000001</v>
      </c>
      <c r="AG36" s="101">
        <v>8.4450000000000003</v>
      </c>
      <c r="AH36" s="105">
        <f t="shared" si="11"/>
        <v>13.675000000000001</v>
      </c>
      <c r="AI36" s="106">
        <f t="shared" si="12"/>
        <v>15.023999999999999</v>
      </c>
      <c r="AJ36" s="106">
        <f t="shared" si="13"/>
        <v>5.71</v>
      </c>
      <c r="AK36" s="106">
        <f t="shared" si="14"/>
        <v>2.5110000000000001</v>
      </c>
      <c r="AL36" s="106">
        <f t="shared" si="15"/>
        <v>5.2919999999999998</v>
      </c>
      <c r="AM36" s="106">
        <f t="shared" si="16"/>
        <v>2.0009999999999999</v>
      </c>
      <c r="AN36" s="106">
        <f t="shared" si="17"/>
        <v>3.5030000000000001</v>
      </c>
      <c r="AO36" s="107">
        <f t="shared" si="18"/>
        <v>8.4450000000000003</v>
      </c>
    </row>
    <row r="37" spans="1:41" x14ac:dyDescent="0.2">
      <c r="A37" s="75">
        <v>48</v>
      </c>
      <c r="B37" s="57">
        <v>7.915</v>
      </c>
      <c r="C37" s="57">
        <v>8.5960000000000001</v>
      </c>
      <c r="D37" s="97">
        <v>2.996</v>
      </c>
      <c r="E37" s="97">
        <v>1.431</v>
      </c>
      <c r="F37" s="97">
        <v>2.79</v>
      </c>
      <c r="G37" s="97">
        <v>1.163</v>
      </c>
      <c r="H37" s="97">
        <v>1.85</v>
      </c>
      <c r="I37" s="97">
        <v>4.5869999999999997</v>
      </c>
      <c r="J37" s="84">
        <v>9.4649999999999999</v>
      </c>
      <c r="K37" s="70">
        <v>10.317</v>
      </c>
      <c r="L37" s="70">
        <v>3.6840000000000002</v>
      </c>
      <c r="M37" s="70">
        <v>1.7110000000000001</v>
      </c>
      <c r="N37" s="70">
        <v>3.4239999999999999</v>
      </c>
      <c r="O37" s="70">
        <v>1.38</v>
      </c>
      <c r="P37" s="70">
        <v>2.278</v>
      </c>
      <c r="Q37" s="104">
        <v>5.5979999999999999</v>
      </c>
      <c r="R37" s="84">
        <v>11.023999999999999</v>
      </c>
      <c r="S37" s="70">
        <v>12.053000000000001</v>
      </c>
      <c r="T37" s="72">
        <v>4.3979999999999997</v>
      </c>
      <c r="U37" s="72">
        <v>1.994</v>
      </c>
      <c r="V37" s="72">
        <v>4.0819999999999999</v>
      </c>
      <c r="W37" s="72">
        <v>1.5980000000000001</v>
      </c>
      <c r="X37" s="69">
        <v>2.72</v>
      </c>
      <c r="Y37" s="85">
        <v>6.6340000000000003</v>
      </c>
      <c r="Z37" s="100">
        <v>13.811</v>
      </c>
      <c r="AA37" s="100">
        <v>15.173</v>
      </c>
      <c r="AB37" s="100">
        <v>5.7279999999999998</v>
      </c>
      <c r="AC37" s="100">
        <v>2.5059999999999998</v>
      </c>
      <c r="AD37" s="100">
        <v>5.306</v>
      </c>
      <c r="AE37" s="100">
        <v>1.9910000000000001</v>
      </c>
      <c r="AF37" s="100">
        <v>3.5369999999999999</v>
      </c>
      <c r="AG37" s="101">
        <v>8.5289999999999999</v>
      </c>
      <c r="AH37" s="105">
        <f t="shared" si="11"/>
        <v>13.811</v>
      </c>
      <c r="AI37" s="106">
        <f t="shared" si="12"/>
        <v>15.173</v>
      </c>
      <c r="AJ37" s="106">
        <f t="shared" si="13"/>
        <v>5.7279999999999998</v>
      </c>
      <c r="AK37" s="106">
        <f t="shared" si="14"/>
        <v>2.5059999999999998</v>
      </c>
      <c r="AL37" s="106">
        <f t="shared" si="15"/>
        <v>5.306</v>
      </c>
      <c r="AM37" s="106">
        <f t="shared" si="16"/>
        <v>1.9910000000000001</v>
      </c>
      <c r="AN37" s="106">
        <f t="shared" si="17"/>
        <v>3.5369999999999999</v>
      </c>
      <c r="AO37" s="107">
        <f t="shared" si="18"/>
        <v>8.5289999999999999</v>
      </c>
    </row>
    <row r="38" spans="1:41" x14ac:dyDescent="0.2">
      <c r="A38" s="76">
        <v>49</v>
      </c>
      <c r="B38" s="57">
        <v>8.1460000000000008</v>
      </c>
      <c r="C38" s="57">
        <v>8.8480000000000008</v>
      </c>
      <c r="D38" s="98">
        <v>3.0539999999999998</v>
      </c>
      <c r="E38" s="98">
        <v>1.448</v>
      </c>
      <c r="F38" s="98">
        <v>2.8420000000000001</v>
      </c>
      <c r="G38" s="98">
        <v>1.173</v>
      </c>
      <c r="H38" s="98">
        <v>1.9039999999999999</v>
      </c>
      <c r="I38" s="98">
        <v>4.7210000000000001</v>
      </c>
      <c r="J38" s="103">
        <v>9.6829999999999998</v>
      </c>
      <c r="K38" s="69">
        <v>10.554</v>
      </c>
      <c r="L38" s="69">
        <v>3.7360000000000002</v>
      </c>
      <c r="M38" s="69">
        <v>1.7230000000000001</v>
      </c>
      <c r="N38" s="69">
        <v>3.47</v>
      </c>
      <c r="O38" s="69">
        <v>1.385</v>
      </c>
      <c r="P38" s="69">
        <v>2.33</v>
      </c>
      <c r="Q38" s="85">
        <v>5.7270000000000003</v>
      </c>
      <c r="R38" s="84">
        <v>11.218999999999999</v>
      </c>
      <c r="S38" s="70">
        <v>12.266999999999999</v>
      </c>
      <c r="T38" s="72">
        <v>4.4409999999999998</v>
      </c>
      <c r="U38" s="72">
        <v>2</v>
      </c>
      <c r="V38" s="72">
        <v>4.1189999999999998</v>
      </c>
      <c r="W38" s="72">
        <v>1.597</v>
      </c>
      <c r="X38" s="69">
        <v>2.7679999999999998</v>
      </c>
      <c r="Y38" s="85">
        <v>6.7510000000000003</v>
      </c>
      <c r="Z38" s="100">
        <v>13.95</v>
      </c>
      <c r="AA38" s="100">
        <v>15.326000000000001</v>
      </c>
      <c r="AB38" s="100">
        <v>5.7439999999999998</v>
      </c>
      <c r="AC38" s="100">
        <v>2.4980000000000002</v>
      </c>
      <c r="AD38" s="100">
        <v>5.3179999999999996</v>
      </c>
      <c r="AE38" s="100">
        <v>1.978</v>
      </c>
      <c r="AF38" s="100">
        <v>3.573</v>
      </c>
      <c r="AG38" s="101">
        <v>8.6150000000000002</v>
      </c>
      <c r="AH38" s="105">
        <f t="shared" si="11"/>
        <v>13.95</v>
      </c>
      <c r="AI38" s="106">
        <f t="shared" si="12"/>
        <v>15.326000000000001</v>
      </c>
      <c r="AJ38" s="106">
        <f t="shared" si="13"/>
        <v>5.7439999999999998</v>
      </c>
      <c r="AK38" s="106">
        <f t="shared" si="14"/>
        <v>2.4980000000000002</v>
      </c>
      <c r="AL38" s="106">
        <f t="shared" si="15"/>
        <v>5.3179999999999996</v>
      </c>
      <c r="AM38" s="106">
        <f t="shared" si="16"/>
        <v>1.978</v>
      </c>
      <c r="AN38" s="106">
        <f t="shared" si="17"/>
        <v>3.573</v>
      </c>
      <c r="AO38" s="107">
        <f t="shared" si="18"/>
        <v>8.6150000000000002</v>
      </c>
    </row>
    <row r="39" spans="1:41" x14ac:dyDescent="0.2">
      <c r="A39" s="75">
        <v>50</v>
      </c>
      <c r="B39" s="57">
        <v>8.3859999999999992</v>
      </c>
      <c r="C39" s="57">
        <v>9.109</v>
      </c>
      <c r="D39" s="97">
        <v>3.1120000000000001</v>
      </c>
      <c r="E39" s="97">
        <v>1.464</v>
      </c>
      <c r="F39" s="97">
        <v>2.8929999999999998</v>
      </c>
      <c r="G39" s="97">
        <v>1.18</v>
      </c>
      <c r="H39" s="97">
        <v>1.96</v>
      </c>
      <c r="I39" s="97">
        <v>4.8609999999999998</v>
      </c>
      <c r="J39" s="84">
        <v>9.907</v>
      </c>
      <c r="K39" s="70">
        <v>10.798999999999999</v>
      </c>
      <c r="L39" s="70">
        <v>3.7869999999999999</v>
      </c>
      <c r="M39" s="70">
        <v>1.7330000000000001</v>
      </c>
      <c r="N39" s="70">
        <v>3.5150000000000001</v>
      </c>
      <c r="O39" s="70">
        <v>1.387</v>
      </c>
      <c r="P39" s="70">
        <v>2.3839999999999999</v>
      </c>
      <c r="Q39" s="104">
        <v>5.86</v>
      </c>
      <c r="R39" s="84">
        <v>11.419</v>
      </c>
      <c r="S39" s="70">
        <v>12.487</v>
      </c>
      <c r="T39" s="72">
        <v>4.4809999999999999</v>
      </c>
      <c r="U39" s="72">
        <v>2.004</v>
      </c>
      <c r="V39" s="72">
        <v>4.1539999999999999</v>
      </c>
      <c r="W39" s="72">
        <v>1.5940000000000001</v>
      </c>
      <c r="X39" s="69">
        <v>2.8170000000000002</v>
      </c>
      <c r="Y39" s="85">
        <v>6.8719999999999999</v>
      </c>
      <c r="Z39" s="100">
        <v>14.092000000000001</v>
      </c>
      <c r="AA39" s="100">
        <v>15.483000000000001</v>
      </c>
      <c r="AB39" s="100">
        <v>5.7590000000000003</v>
      </c>
      <c r="AC39" s="100">
        <v>2.488</v>
      </c>
      <c r="AD39" s="100">
        <v>5.3280000000000003</v>
      </c>
      <c r="AE39" s="100">
        <v>1.9630000000000001</v>
      </c>
      <c r="AF39" s="100">
        <v>3.609</v>
      </c>
      <c r="AG39" s="101">
        <v>8.7029999999999994</v>
      </c>
      <c r="AH39" s="105">
        <f t="shared" si="11"/>
        <v>14.092000000000001</v>
      </c>
      <c r="AI39" s="106">
        <f t="shared" si="12"/>
        <v>15.483000000000001</v>
      </c>
      <c r="AJ39" s="106">
        <f t="shared" si="13"/>
        <v>5.7590000000000003</v>
      </c>
      <c r="AK39" s="106">
        <f t="shared" si="14"/>
        <v>2.488</v>
      </c>
      <c r="AL39" s="106">
        <f t="shared" si="15"/>
        <v>5.3280000000000003</v>
      </c>
      <c r="AM39" s="106">
        <f t="shared" si="16"/>
        <v>1.9630000000000001</v>
      </c>
      <c r="AN39" s="106">
        <f t="shared" si="17"/>
        <v>3.609</v>
      </c>
      <c r="AO39" s="107">
        <f t="shared" si="18"/>
        <v>8.7029999999999994</v>
      </c>
    </row>
    <row r="40" spans="1:41" x14ac:dyDescent="0.2">
      <c r="A40" s="76">
        <v>51</v>
      </c>
      <c r="B40" s="57">
        <v>8.6340000000000003</v>
      </c>
      <c r="C40" s="57">
        <v>9.3789999999999996</v>
      </c>
      <c r="D40" s="98">
        <v>3.169</v>
      </c>
      <c r="E40" s="98">
        <v>1.4770000000000001</v>
      </c>
      <c r="F40" s="98">
        <v>2.944</v>
      </c>
      <c r="G40" s="98">
        <v>1.1850000000000001</v>
      </c>
      <c r="H40" s="98">
        <v>2.0179999999999998</v>
      </c>
      <c r="I40" s="98">
        <v>5.0049999999999999</v>
      </c>
      <c r="J40" s="103">
        <v>10.138</v>
      </c>
      <c r="K40" s="69">
        <v>11.052</v>
      </c>
      <c r="L40" s="69">
        <v>3.8359999999999999</v>
      </c>
      <c r="M40" s="69">
        <v>1.7410000000000001</v>
      </c>
      <c r="N40" s="69">
        <v>3.5579999999999998</v>
      </c>
      <c r="O40" s="69">
        <v>1.387</v>
      </c>
      <c r="P40" s="69">
        <v>2.4390000000000001</v>
      </c>
      <c r="Q40" s="85">
        <v>5.9969999999999999</v>
      </c>
      <c r="R40" s="84">
        <v>11.625</v>
      </c>
      <c r="S40" s="70">
        <v>12.712999999999999</v>
      </c>
      <c r="T40" s="72">
        <v>4.5199999999999996</v>
      </c>
      <c r="U40" s="72">
        <v>2.0049999999999999</v>
      </c>
      <c r="V40" s="72">
        <v>4.1859999999999999</v>
      </c>
      <c r="W40" s="72">
        <v>1.5880000000000001</v>
      </c>
      <c r="X40" s="69">
        <v>2.8679999999999999</v>
      </c>
      <c r="Y40" s="85">
        <v>6.9969999999999999</v>
      </c>
      <c r="Z40" s="100">
        <v>14.238</v>
      </c>
      <c r="AA40" s="100">
        <v>15.645</v>
      </c>
      <c r="AB40" s="100">
        <v>5.77</v>
      </c>
      <c r="AC40" s="100">
        <v>2.4750000000000001</v>
      </c>
      <c r="AD40" s="100">
        <v>5.335</v>
      </c>
      <c r="AE40" s="100">
        <v>1.944</v>
      </c>
      <c r="AF40" s="100">
        <v>3.6469999999999998</v>
      </c>
      <c r="AG40" s="101">
        <v>8.7940000000000005</v>
      </c>
      <c r="AH40" s="105">
        <f t="shared" si="11"/>
        <v>14.238</v>
      </c>
      <c r="AI40" s="106">
        <f t="shared" si="12"/>
        <v>15.645</v>
      </c>
      <c r="AJ40" s="106">
        <f t="shared" si="13"/>
        <v>5.77</v>
      </c>
      <c r="AK40" s="106">
        <f t="shared" si="14"/>
        <v>2.4750000000000001</v>
      </c>
      <c r="AL40" s="106">
        <f t="shared" si="15"/>
        <v>5.335</v>
      </c>
      <c r="AM40" s="106">
        <f t="shared" si="16"/>
        <v>1.944</v>
      </c>
      <c r="AN40" s="106">
        <f t="shared" si="17"/>
        <v>3.6469999999999998</v>
      </c>
      <c r="AO40" s="107">
        <f t="shared" si="18"/>
        <v>8.7940000000000005</v>
      </c>
    </row>
    <row r="41" spans="1:41" x14ac:dyDescent="0.2">
      <c r="A41" s="75">
        <v>52</v>
      </c>
      <c r="B41" s="57">
        <v>8.8919999999999995</v>
      </c>
      <c r="C41" s="57">
        <v>9.66</v>
      </c>
      <c r="D41" s="97">
        <v>3.2240000000000002</v>
      </c>
      <c r="E41" s="97">
        <v>1.488</v>
      </c>
      <c r="F41" s="97">
        <v>2.9929999999999999</v>
      </c>
      <c r="G41" s="97">
        <v>1.1870000000000001</v>
      </c>
      <c r="H41" s="97">
        <v>2.0779999999999998</v>
      </c>
      <c r="I41" s="97">
        <v>5.1550000000000002</v>
      </c>
      <c r="J41" s="84">
        <v>10.375999999999999</v>
      </c>
      <c r="K41" s="70">
        <v>11.313000000000001</v>
      </c>
      <c r="L41" s="70">
        <v>3.883</v>
      </c>
      <c r="M41" s="70">
        <v>1.746</v>
      </c>
      <c r="N41" s="70">
        <v>3.5990000000000002</v>
      </c>
      <c r="O41" s="70">
        <v>1.3839999999999999</v>
      </c>
      <c r="P41" s="70">
        <v>2.4969999999999999</v>
      </c>
      <c r="Q41" s="104">
        <v>6.1379999999999999</v>
      </c>
      <c r="R41" s="84">
        <v>11.837</v>
      </c>
      <c r="S41" s="70">
        <v>12.946</v>
      </c>
      <c r="T41" s="72">
        <v>4.5549999999999997</v>
      </c>
      <c r="U41" s="72">
        <v>2.004</v>
      </c>
      <c r="V41" s="72">
        <v>4.2160000000000002</v>
      </c>
      <c r="W41" s="72">
        <v>1.579</v>
      </c>
      <c r="X41" s="69">
        <v>2.9209999999999998</v>
      </c>
      <c r="Y41" s="85">
        <v>7.125</v>
      </c>
      <c r="Z41" s="100">
        <v>14.388</v>
      </c>
      <c r="AA41" s="100">
        <v>15.811999999999999</v>
      </c>
      <c r="AB41" s="100">
        <v>5.7779999999999996</v>
      </c>
      <c r="AC41" s="100">
        <v>2.4590000000000001</v>
      </c>
      <c r="AD41" s="100">
        <v>5.3380000000000001</v>
      </c>
      <c r="AE41" s="100">
        <v>1.9219999999999999</v>
      </c>
      <c r="AF41" s="100">
        <v>3.6850000000000001</v>
      </c>
      <c r="AG41" s="101">
        <v>8.8879999999999999</v>
      </c>
      <c r="AH41" s="105">
        <f t="shared" si="11"/>
        <v>14.388</v>
      </c>
      <c r="AI41" s="106">
        <f t="shared" si="12"/>
        <v>15.811999999999999</v>
      </c>
      <c r="AJ41" s="106">
        <f t="shared" si="13"/>
        <v>5.7779999999999996</v>
      </c>
      <c r="AK41" s="106">
        <f t="shared" si="14"/>
        <v>2.4590000000000001</v>
      </c>
      <c r="AL41" s="106">
        <f t="shared" si="15"/>
        <v>5.3380000000000001</v>
      </c>
      <c r="AM41" s="106">
        <f t="shared" si="16"/>
        <v>1.9219999999999999</v>
      </c>
      <c r="AN41" s="106">
        <f t="shared" si="17"/>
        <v>3.6850000000000001</v>
      </c>
      <c r="AO41" s="107">
        <f t="shared" si="18"/>
        <v>8.8879999999999999</v>
      </c>
    </row>
    <row r="42" spans="1:41" x14ac:dyDescent="0.2">
      <c r="A42" s="76">
        <v>53</v>
      </c>
      <c r="B42" s="57">
        <v>9.16</v>
      </c>
      <c r="C42" s="57">
        <v>9.9510000000000005</v>
      </c>
      <c r="D42" s="98">
        <v>3.278</v>
      </c>
      <c r="E42" s="98">
        <v>1.498</v>
      </c>
      <c r="F42" s="98">
        <v>3.0390000000000001</v>
      </c>
      <c r="G42" s="98">
        <v>1.1879999999999999</v>
      </c>
      <c r="H42" s="98">
        <v>2.14</v>
      </c>
      <c r="I42" s="98">
        <v>5.3109999999999999</v>
      </c>
      <c r="J42" s="103">
        <v>10.622999999999999</v>
      </c>
      <c r="K42" s="69">
        <v>11.583</v>
      </c>
      <c r="L42" s="69">
        <v>3.9279999999999999</v>
      </c>
      <c r="M42" s="69">
        <v>1.75</v>
      </c>
      <c r="N42" s="69">
        <v>3.637</v>
      </c>
      <c r="O42" s="69">
        <v>1.379</v>
      </c>
      <c r="P42" s="69">
        <v>2.556</v>
      </c>
      <c r="Q42" s="85">
        <v>6.2850000000000001</v>
      </c>
      <c r="R42" s="84">
        <v>12.055999999999999</v>
      </c>
      <c r="S42" s="70">
        <v>13.186999999999999</v>
      </c>
      <c r="T42" s="72">
        <v>4.5880000000000001</v>
      </c>
      <c r="U42" s="72">
        <v>2</v>
      </c>
      <c r="V42" s="72">
        <v>4.242</v>
      </c>
      <c r="W42" s="72">
        <v>1.5669999999999999</v>
      </c>
      <c r="X42" s="69">
        <v>2.9750000000000001</v>
      </c>
      <c r="Y42" s="85">
        <v>7.258</v>
      </c>
      <c r="Z42" s="100">
        <v>14.544</v>
      </c>
      <c r="AA42" s="100">
        <v>15.984999999999999</v>
      </c>
      <c r="AB42" s="100">
        <v>5.782</v>
      </c>
      <c r="AC42" s="100">
        <v>2.44</v>
      </c>
      <c r="AD42" s="100">
        <v>5.3369999999999997</v>
      </c>
      <c r="AE42" s="100">
        <v>1.8979999999999999</v>
      </c>
      <c r="AF42" s="100">
        <v>3.7250000000000001</v>
      </c>
      <c r="AG42" s="101">
        <v>8.9849999999999994</v>
      </c>
      <c r="AH42" s="105">
        <f t="shared" si="11"/>
        <v>14.544</v>
      </c>
      <c r="AI42" s="106">
        <f t="shared" si="12"/>
        <v>15.984999999999999</v>
      </c>
      <c r="AJ42" s="106">
        <f t="shared" si="13"/>
        <v>5.782</v>
      </c>
      <c r="AK42" s="106">
        <f t="shared" si="14"/>
        <v>2.44</v>
      </c>
      <c r="AL42" s="106">
        <f t="shared" si="15"/>
        <v>5.3369999999999997</v>
      </c>
      <c r="AM42" s="106">
        <f t="shared" si="16"/>
        <v>1.8979999999999999</v>
      </c>
      <c r="AN42" s="106">
        <f t="shared" si="17"/>
        <v>3.7250000000000001</v>
      </c>
      <c r="AO42" s="107">
        <f t="shared" si="18"/>
        <v>8.9849999999999994</v>
      </c>
    </row>
    <row r="43" spans="1:41" x14ac:dyDescent="0.2">
      <c r="A43" s="75">
        <v>54</v>
      </c>
      <c r="B43" s="57">
        <v>9.4380000000000006</v>
      </c>
      <c r="C43" s="57">
        <v>10.254</v>
      </c>
      <c r="D43" s="97">
        <v>3.3290000000000002</v>
      </c>
      <c r="E43" s="97">
        <v>1.506</v>
      </c>
      <c r="F43" s="97">
        <v>3.0830000000000002</v>
      </c>
      <c r="G43" s="97">
        <v>1.1859999999999999</v>
      </c>
      <c r="H43" s="97">
        <v>2.2050000000000001</v>
      </c>
      <c r="I43" s="97">
        <v>5.4720000000000004</v>
      </c>
      <c r="J43" s="84">
        <v>10.879</v>
      </c>
      <c r="K43" s="70">
        <v>11.862</v>
      </c>
      <c r="L43" s="70">
        <v>3.97</v>
      </c>
      <c r="M43" s="70">
        <v>1.7509999999999999</v>
      </c>
      <c r="N43" s="70">
        <v>3.6709999999999998</v>
      </c>
      <c r="O43" s="70">
        <v>1.371</v>
      </c>
      <c r="P43" s="70">
        <v>2.6179999999999999</v>
      </c>
      <c r="Q43" s="104">
        <v>6.4359999999999999</v>
      </c>
      <c r="R43" s="84">
        <v>12.282999999999999</v>
      </c>
      <c r="S43" s="70">
        <v>13.435</v>
      </c>
      <c r="T43" s="72">
        <v>4.617</v>
      </c>
      <c r="U43" s="72">
        <v>1.994</v>
      </c>
      <c r="V43" s="72">
        <v>4.2649999999999997</v>
      </c>
      <c r="W43" s="72">
        <v>1.5529999999999999</v>
      </c>
      <c r="X43" s="69">
        <v>3.0310000000000001</v>
      </c>
      <c r="Y43" s="85">
        <v>7.3940000000000001</v>
      </c>
      <c r="Z43" s="100">
        <v>14.706</v>
      </c>
      <c r="AA43" s="100">
        <v>16.164000000000001</v>
      </c>
      <c r="AB43" s="100">
        <v>5.7809999999999997</v>
      </c>
      <c r="AC43" s="100">
        <v>2.419</v>
      </c>
      <c r="AD43" s="100">
        <v>5.3319999999999999</v>
      </c>
      <c r="AE43" s="100">
        <v>1.871</v>
      </c>
      <c r="AF43" s="100">
        <v>3.7669999999999999</v>
      </c>
      <c r="AG43" s="101">
        <v>9.0850000000000009</v>
      </c>
      <c r="AH43" s="105">
        <f t="shared" si="11"/>
        <v>14.706</v>
      </c>
      <c r="AI43" s="106">
        <f t="shared" si="12"/>
        <v>16.164000000000001</v>
      </c>
      <c r="AJ43" s="106">
        <f t="shared" si="13"/>
        <v>5.7809999999999997</v>
      </c>
      <c r="AK43" s="106">
        <f t="shared" si="14"/>
        <v>2.419</v>
      </c>
      <c r="AL43" s="106">
        <f t="shared" si="15"/>
        <v>5.3319999999999999</v>
      </c>
      <c r="AM43" s="106">
        <f t="shared" si="16"/>
        <v>1.871</v>
      </c>
      <c r="AN43" s="106">
        <f t="shared" si="17"/>
        <v>3.7669999999999999</v>
      </c>
      <c r="AO43" s="107">
        <f t="shared" si="18"/>
        <v>9.0850000000000009</v>
      </c>
    </row>
    <row r="44" spans="1:41" x14ac:dyDescent="0.2">
      <c r="A44" s="76">
        <v>55</v>
      </c>
      <c r="B44" s="57">
        <v>9.7270000000000003</v>
      </c>
      <c r="C44" s="57">
        <v>10.569000000000001</v>
      </c>
      <c r="D44" s="98">
        <v>3.3780000000000001</v>
      </c>
      <c r="E44" s="98">
        <v>1.512</v>
      </c>
      <c r="F44" s="98">
        <v>3.125</v>
      </c>
      <c r="G44" s="98">
        <v>1.1830000000000001</v>
      </c>
      <c r="H44" s="98">
        <v>2.2730000000000001</v>
      </c>
      <c r="I44" s="98">
        <v>5.64</v>
      </c>
      <c r="J44" s="103">
        <v>11.144</v>
      </c>
      <c r="K44" s="69">
        <v>12.151</v>
      </c>
      <c r="L44" s="69">
        <v>4.008</v>
      </c>
      <c r="M44" s="69">
        <v>1.7509999999999999</v>
      </c>
      <c r="N44" s="69">
        <v>3.7029999999999998</v>
      </c>
      <c r="O44" s="69">
        <v>1.3620000000000001</v>
      </c>
      <c r="P44" s="69">
        <v>2.681</v>
      </c>
      <c r="Q44" s="85">
        <v>6.593</v>
      </c>
      <c r="R44" s="84">
        <v>12.516999999999999</v>
      </c>
      <c r="S44" s="70">
        <v>13.692</v>
      </c>
      <c r="T44" s="72">
        <v>4.6420000000000003</v>
      </c>
      <c r="U44" s="72">
        <v>1.986</v>
      </c>
      <c r="V44" s="72">
        <v>4.2830000000000004</v>
      </c>
      <c r="W44" s="72">
        <v>1.5369999999999999</v>
      </c>
      <c r="X44" s="69">
        <v>3.0880000000000001</v>
      </c>
      <c r="Y44" s="85">
        <v>7.5350000000000001</v>
      </c>
      <c r="Z44" s="100">
        <v>14.874000000000001</v>
      </c>
      <c r="AA44" s="100">
        <v>16.347999999999999</v>
      </c>
      <c r="AB44" s="100">
        <v>5.7759999999999998</v>
      </c>
      <c r="AC44" s="100">
        <v>2.3959999999999999</v>
      </c>
      <c r="AD44" s="100">
        <v>5.3209999999999997</v>
      </c>
      <c r="AE44" s="100">
        <v>1.841</v>
      </c>
      <c r="AF44" s="100">
        <v>3.81</v>
      </c>
      <c r="AG44" s="101">
        <v>9.1890000000000001</v>
      </c>
      <c r="AH44" s="105">
        <f t="shared" si="11"/>
        <v>14.874000000000001</v>
      </c>
      <c r="AI44" s="106">
        <f t="shared" si="12"/>
        <v>16.347999999999999</v>
      </c>
      <c r="AJ44" s="106">
        <f t="shared" si="13"/>
        <v>5.7759999999999998</v>
      </c>
      <c r="AK44" s="106">
        <f t="shared" si="14"/>
        <v>2.3959999999999999</v>
      </c>
      <c r="AL44" s="106">
        <f t="shared" si="15"/>
        <v>5.3209999999999997</v>
      </c>
      <c r="AM44" s="106">
        <f t="shared" si="16"/>
        <v>1.841</v>
      </c>
      <c r="AN44" s="106">
        <f t="shared" si="17"/>
        <v>3.81</v>
      </c>
      <c r="AO44" s="107">
        <f t="shared" si="18"/>
        <v>9.1890000000000001</v>
      </c>
    </row>
    <row r="45" spans="1:41" x14ac:dyDescent="0.2">
      <c r="A45" s="75">
        <v>56</v>
      </c>
      <c r="B45" s="57">
        <v>10.029</v>
      </c>
      <c r="C45" s="57">
        <v>10.896000000000001</v>
      </c>
      <c r="D45" s="97">
        <v>3.4249999999999998</v>
      </c>
      <c r="E45" s="97">
        <v>1.5169999999999999</v>
      </c>
      <c r="F45" s="97">
        <v>3.1640000000000001</v>
      </c>
      <c r="G45" s="97">
        <v>1.177</v>
      </c>
      <c r="H45" s="97">
        <v>2.3439999999999999</v>
      </c>
      <c r="I45" s="97">
        <v>5.8150000000000004</v>
      </c>
      <c r="J45" s="84">
        <v>11.419</v>
      </c>
      <c r="K45" s="70">
        <v>12.451000000000001</v>
      </c>
      <c r="L45" s="70">
        <v>4.0439999999999996</v>
      </c>
      <c r="M45" s="70">
        <v>1.7490000000000001</v>
      </c>
      <c r="N45" s="70">
        <v>3.7309999999999999</v>
      </c>
      <c r="O45" s="70">
        <v>1.35</v>
      </c>
      <c r="P45" s="70">
        <v>2.7480000000000002</v>
      </c>
      <c r="Q45" s="104">
        <v>6.7560000000000002</v>
      </c>
      <c r="R45" s="84">
        <v>12.76</v>
      </c>
      <c r="S45" s="70">
        <v>13.957000000000001</v>
      </c>
      <c r="T45" s="72">
        <v>4.6630000000000003</v>
      </c>
      <c r="U45" s="72">
        <v>1.976</v>
      </c>
      <c r="V45" s="72">
        <v>4.298</v>
      </c>
      <c r="W45" s="72">
        <v>1.518</v>
      </c>
      <c r="X45" s="69">
        <v>3.1480000000000001</v>
      </c>
      <c r="Y45" s="85">
        <v>7.681</v>
      </c>
      <c r="Z45" s="100">
        <v>15.048999999999999</v>
      </c>
      <c r="AA45" s="100">
        <v>16.539000000000001</v>
      </c>
      <c r="AB45" s="100">
        <v>5.766</v>
      </c>
      <c r="AC45" s="100">
        <v>2.371</v>
      </c>
      <c r="AD45" s="100">
        <v>5.3070000000000004</v>
      </c>
      <c r="AE45" s="100">
        <v>1.81</v>
      </c>
      <c r="AF45" s="100">
        <v>3.8540000000000001</v>
      </c>
      <c r="AG45" s="101">
        <v>9.2959999999999994</v>
      </c>
      <c r="AH45" s="105">
        <f t="shared" si="11"/>
        <v>15.048999999999999</v>
      </c>
      <c r="AI45" s="106">
        <f t="shared" si="12"/>
        <v>16.539000000000001</v>
      </c>
      <c r="AJ45" s="106">
        <f t="shared" si="13"/>
        <v>5.766</v>
      </c>
      <c r="AK45" s="106">
        <f t="shared" si="14"/>
        <v>2.371</v>
      </c>
      <c r="AL45" s="106">
        <f t="shared" si="15"/>
        <v>5.3070000000000004</v>
      </c>
      <c r="AM45" s="106">
        <f t="shared" si="16"/>
        <v>1.81</v>
      </c>
      <c r="AN45" s="106">
        <f t="shared" si="17"/>
        <v>3.8540000000000001</v>
      </c>
      <c r="AO45" s="107">
        <f t="shared" si="18"/>
        <v>9.2959999999999994</v>
      </c>
    </row>
    <row r="46" spans="1:41" x14ac:dyDescent="0.2">
      <c r="A46" s="76">
        <v>57</v>
      </c>
      <c r="B46" s="57">
        <v>10.343999999999999</v>
      </c>
      <c r="C46" s="57">
        <v>11.236000000000001</v>
      </c>
      <c r="D46" s="98">
        <v>3.4689999999999999</v>
      </c>
      <c r="E46" s="98">
        <v>1.52</v>
      </c>
      <c r="F46" s="98">
        <v>3.1989999999999998</v>
      </c>
      <c r="G46" s="98">
        <v>1.17</v>
      </c>
      <c r="H46" s="98">
        <v>2.4169999999999998</v>
      </c>
      <c r="I46" s="98">
        <v>5.9960000000000004</v>
      </c>
      <c r="J46" s="103">
        <v>11.705</v>
      </c>
      <c r="K46" s="69">
        <v>12.760999999999999</v>
      </c>
      <c r="L46" s="69">
        <v>4.0759999999999996</v>
      </c>
      <c r="M46" s="69">
        <v>1.7450000000000001</v>
      </c>
      <c r="N46" s="69">
        <v>3.7549999999999999</v>
      </c>
      <c r="O46" s="69">
        <v>1.3360000000000001</v>
      </c>
      <c r="P46" s="69">
        <v>2.8159999999999998</v>
      </c>
      <c r="Q46" s="85">
        <v>6.9240000000000004</v>
      </c>
      <c r="R46" s="84">
        <v>13.012</v>
      </c>
      <c r="S46" s="70">
        <v>14.23</v>
      </c>
      <c r="T46" s="72">
        <v>4.681</v>
      </c>
      <c r="U46" s="72">
        <v>1.9650000000000001</v>
      </c>
      <c r="V46" s="72">
        <v>4.3079999999999998</v>
      </c>
      <c r="W46" s="72">
        <v>1.498</v>
      </c>
      <c r="X46" s="69">
        <v>3.2109999999999999</v>
      </c>
      <c r="Y46" s="85">
        <v>7.8319999999999999</v>
      </c>
      <c r="Z46" s="100">
        <v>15.23</v>
      </c>
      <c r="AA46" s="100">
        <v>16.736000000000001</v>
      </c>
      <c r="AB46" s="100">
        <v>5.7530000000000001</v>
      </c>
      <c r="AC46" s="100">
        <v>2.3439999999999999</v>
      </c>
      <c r="AD46" s="100">
        <v>5.2869999999999999</v>
      </c>
      <c r="AE46" s="100">
        <v>1.776</v>
      </c>
      <c r="AF46" s="100">
        <v>3.9009999999999998</v>
      </c>
      <c r="AG46" s="101">
        <v>9.407</v>
      </c>
      <c r="AH46" s="105">
        <f t="shared" si="11"/>
        <v>15.23</v>
      </c>
      <c r="AI46" s="106">
        <f t="shared" si="12"/>
        <v>16.736000000000001</v>
      </c>
      <c r="AJ46" s="106">
        <f t="shared" si="13"/>
        <v>5.7530000000000001</v>
      </c>
      <c r="AK46" s="106">
        <f t="shared" si="14"/>
        <v>2.3439999999999999</v>
      </c>
      <c r="AL46" s="106">
        <f t="shared" si="15"/>
        <v>5.2869999999999999</v>
      </c>
      <c r="AM46" s="106">
        <f t="shared" si="16"/>
        <v>1.776</v>
      </c>
      <c r="AN46" s="106">
        <f t="shared" si="17"/>
        <v>3.9009999999999998</v>
      </c>
      <c r="AO46" s="107">
        <f t="shared" si="18"/>
        <v>9.407</v>
      </c>
    </row>
    <row r="47" spans="1:41" x14ac:dyDescent="0.2">
      <c r="A47" s="75">
        <v>58</v>
      </c>
      <c r="B47" s="57">
        <v>10.672000000000001</v>
      </c>
      <c r="C47" s="57">
        <v>11.59</v>
      </c>
      <c r="D47" s="97">
        <v>3.51</v>
      </c>
      <c r="E47" s="97">
        <v>1.522</v>
      </c>
      <c r="F47" s="97">
        <v>3.2320000000000002</v>
      </c>
      <c r="G47" s="97">
        <v>1.161</v>
      </c>
      <c r="H47" s="97">
        <v>2.4940000000000002</v>
      </c>
      <c r="I47" s="97">
        <v>6.1849999999999996</v>
      </c>
      <c r="J47" s="84">
        <v>12.003</v>
      </c>
      <c r="K47" s="70">
        <v>13.082000000000001</v>
      </c>
      <c r="L47" s="70">
        <v>4.1050000000000004</v>
      </c>
      <c r="M47" s="70">
        <v>1.74</v>
      </c>
      <c r="N47" s="70">
        <v>3.7749999999999999</v>
      </c>
      <c r="O47" s="70">
        <v>1.32</v>
      </c>
      <c r="P47" s="70">
        <v>2.8879999999999999</v>
      </c>
      <c r="Q47" s="104">
        <v>7.0979999999999999</v>
      </c>
      <c r="R47" s="84">
        <v>13.273999999999999</v>
      </c>
      <c r="S47" s="70">
        <v>14.513</v>
      </c>
      <c r="T47" s="72">
        <v>4.694</v>
      </c>
      <c r="U47" s="72">
        <v>1.952</v>
      </c>
      <c r="V47" s="72">
        <v>4.3140000000000001</v>
      </c>
      <c r="W47" s="72">
        <v>1.4750000000000001</v>
      </c>
      <c r="X47" s="69">
        <v>3.2749999999999999</v>
      </c>
      <c r="Y47" s="85">
        <v>7.9880000000000004</v>
      </c>
      <c r="Z47" s="100">
        <v>15.42</v>
      </c>
      <c r="AA47" s="100">
        <v>16.940999999999999</v>
      </c>
      <c r="AB47" s="100">
        <v>5.734</v>
      </c>
      <c r="AC47" s="100">
        <v>2.3159999999999998</v>
      </c>
      <c r="AD47" s="100">
        <v>5.2619999999999996</v>
      </c>
      <c r="AE47" s="100">
        <v>1.7410000000000001</v>
      </c>
      <c r="AF47" s="100">
        <v>3.95</v>
      </c>
      <c r="AG47" s="101">
        <v>9.5220000000000002</v>
      </c>
      <c r="AH47" s="105">
        <f t="shared" si="11"/>
        <v>15.42</v>
      </c>
      <c r="AI47" s="106">
        <f t="shared" si="12"/>
        <v>16.940999999999999</v>
      </c>
      <c r="AJ47" s="106">
        <f t="shared" si="13"/>
        <v>5.734</v>
      </c>
      <c r="AK47" s="106">
        <f t="shared" si="14"/>
        <v>2.3159999999999998</v>
      </c>
      <c r="AL47" s="106">
        <f t="shared" si="15"/>
        <v>5.2619999999999996</v>
      </c>
      <c r="AM47" s="106">
        <f t="shared" si="16"/>
        <v>1.7410000000000001</v>
      </c>
      <c r="AN47" s="106">
        <f t="shared" si="17"/>
        <v>3.95</v>
      </c>
      <c r="AO47" s="107">
        <f t="shared" si="18"/>
        <v>9.5220000000000002</v>
      </c>
    </row>
    <row r="48" spans="1:41" x14ac:dyDescent="0.2">
      <c r="A48" s="76">
        <v>59</v>
      </c>
      <c r="B48" s="57">
        <v>11.015000000000001</v>
      </c>
      <c r="C48" s="57">
        <v>11.957000000000001</v>
      </c>
      <c r="D48" s="98">
        <v>3.548</v>
      </c>
      <c r="E48" s="98">
        <v>1.5229999999999999</v>
      </c>
      <c r="F48" s="98">
        <v>3.2610000000000001</v>
      </c>
      <c r="G48" s="98">
        <v>1.1499999999999999</v>
      </c>
      <c r="H48" s="98">
        <v>2.5739999999999998</v>
      </c>
      <c r="I48" s="98">
        <v>6.3810000000000002</v>
      </c>
      <c r="J48" s="103">
        <v>12.313000000000001</v>
      </c>
      <c r="K48" s="69">
        <v>13.414999999999999</v>
      </c>
      <c r="L48" s="69">
        <v>4.1289999999999996</v>
      </c>
      <c r="M48" s="69">
        <v>1.734</v>
      </c>
      <c r="N48" s="69">
        <v>3.7919999999999998</v>
      </c>
      <c r="O48" s="69">
        <v>1.304</v>
      </c>
      <c r="P48" s="69">
        <v>2.9630000000000001</v>
      </c>
      <c r="Q48" s="85">
        <v>7.2789999999999999</v>
      </c>
      <c r="R48" s="84">
        <v>13.547000000000001</v>
      </c>
      <c r="S48" s="70">
        <v>14.805</v>
      </c>
      <c r="T48" s="72">
        <v>4.7039999999999997</v>
      </c>
      <c r="U48" s="72">
        <v>1.9379999999999999</v>
      </c>
      <c r="V48" s="72">
        <v>4.3150000000000004</v>
      </c>
      <c r="W48" s="72">
        <v>1.452</v>
      </c>
      <c r="X48" s="69">
        <v>3.343</v>
      </c>
      <c r="Y48" s="85">
        <v>8.1479999999999997</v>
      </c>
      <c r="Z48" s="100">
        <v>15.619</v>
      </c>
      <c r="AA48" s="100">
        <v>17.151</v>
      </c>
      <c r="AB48" s="100">
        <v>5.71</v>
      </c>
      <c r="AC48" s="100">
        <v>2.286</v>
      </c>
      <c r="AD48" s="100">
        <v>5.2329999999999997</v>
      </c>
      <c r="AE48" s="100">
        <v>1.704</v>
      </c>
      <c r="AF48" s="100">
        <v>4</v>
      </c>
      <c r="AG48" s="101">
        <v>9.641</v>
      </c>
      <c r="AH48" s="105">
        <f t="shared" si="11"/>
        <v>15.619</v>
      </c>
      <c r="AI48" s="106">
        <f t="shared" si="12"/>
        <v>17.151</v>
      </c>
      <c r="AJ48" s="106">
        <f t="shared" si="13"/>
        <v>5.71</v>
      </c>
      <c r="AK48" s="106">
        <f t="shared" si="14"/>
        <v>2.286</v>
      </c>
      <c r="AL48" s="106">
        <f t="shared" si="15"/>
        <v>5.2329999999999997</v>
      </c>
      <c r="AM48" s="106">
        <f t="shared" si="16"/>
        <v>1.704</v>
      </c>
      <c r="AN48" s="106">
        <f t="shared" si="17"/>
        <v>4</v>
      </c>
      <c r="AO48" s="107">
        <f t="shared" si="18"/>
        <v>9.641</v>
      </c>
    </row>
    <row r="49" spans="1:41" x14ac:dyDescent="0.2">
      <c r="A49" s="75">
        <v>60</v>
      </c>
      <c r="B49" s="57">
        <v>11.374000000000001</v>
      </c>
      <c r="C49" s="57">
        <v>12.34</v>
      </c>
      <c r="D49" s="97">
        <v>3.5819999999999999</v>
      </c>
      <c r="E49" s="97">
        <v>1.5229999999999999</v>
      </c>
      <c r="F49" s="97">
        <v>3.286</v>
      </c>
      <c r="G49" s="97">
        <v>1.1379999999999999</v>
      </c>
      <c r="H49" s="97">
        <v>2.6579999999999999</v>
      </c>
      <c r="I49" s="97">
        <v>6.585</v>
      </c>
      <c r="J49" s="84">
        <v>12.637</v>
      </c>
      <c r="K49" s="70">
        <v>13.76</v>
      </c>
      <c r="L49" s="70">
        <v>4.1500000000000004</v>
      </c>
      <c r="M49" s="70">
        <v>1.7270000000000001</v>
      </c>
      <c r="N49" s="70">
        <v>3.8029999999999999</v>
      </c>
      <c r="O49" s="70">
        <v>1.2849999999999999</v>
      </c>
      <c r="P49" s="70">
        <v>3.0409999999999999</v>
      </c>
      <c r="Q49" s="104">
        <v>7.4660000000000002</v>
      </c>
      <c r="R49" s="84">
        <v>13.831</v>
      </c>
      <c r="S49" s="70">
        <v>15.108000000000001</v>
      </c>
      <c r="T49" s="72">
        <v>4.7080000000000002</v>
      </c>
      <c r="U49" s="72">
        <v>1.9219999999999999</v>
      </c>
      <c r="V49" s="72">
        <v>4.3120000000000003</v>
      </c>
      <c r="W49" s="72">
        <v>1.4259999999999999</v>
      </c>
      <c r="X49" s="69">
        <v>3.4129999999999998</v>
      </c>
      <c r="Y49" s="85">
        <v>8.3149999999999995</v>
      </c>
      <c r="Z49" s="100">
        <v>15.827</v>
      </c>
      <c r="AA49" s="100">
        <v>17.37</v>
      </c>
      <c r="AB49" s="100">
        <v>5.681</v>
      </c>
      <c r="AC49" s="100">
        <v>2.2559999999999998</v>
      </c>
      <c r="AD49" s="100">
        <v>5.1970000000000001</v>
      </c>
      <c r="AE49" s="100">
        <v>1.6659999999999999</v>
      </c>
      <c r="AF49" s="100">
        <v>4.0540000000000003</v>
      </c>
      <c r="AG49" s="101">
        <v>9.7639999999999993</v>
      </c>
      <c r="AH49" s="105">
        <f t="shared" si="11"/>
        <v>15.827</v>
      </c>
      <c r="AI49" s="106">
        <f t="shared" si="12"/>
        <v>17.37</v>
      </c>
      <c r="AJ49" s="106">
        <f t="shared" si="13"/>
        <v>5.681</v>
      </c>
      <c r="AK49" s="106">
        <f t="shared" si="14"/>
        <v>2.2559999999999998</v>
      </c>
      <c r="AL49" s="106">
        <f t="shared" si="15"/>
        <v>5.1970000000000001</v>
      </c>
      <c r="AM49" s="106">
        <f t="shared" si="16"/>
        <v>1.6659999999999999</v>
      </c>
      <c r="AN49" s="106">
        <f t="shared" si="17"/>
        <v>4.0540000000000003</v>
      </c>
      <c r="AO49" s="107">
        <f t="shared" si="18"/>
        <v>9.7639999999999993</v>
      </c>
    </row>
    <row r="50" spans="1:41" x14ac:dyDescent="0.2">
      <c r="A50" s="76">
        <v>61</v>
      </c>
      <c r="B50" s="57">
        <v>11.750999999999999</v>
      </c>
      <c r="C50" s="57">
        <v>12.74</v>
      </c>
      <c r="D50" s="98">
        <v>3.613</v>
      </c>
      <c r="E50" s="98">
        <v>1.522</v>
      </c>
      <c r="F50" s="98">
        <v>3.3069999999999999</v>
      </c>
      <c r="G50" s="98">
        <v>1.125</v>
      </c>
      <c r="H50" s="98">
        <v>2.746</v>
      </c>
      <c r="I50" s="98">
        <v>6.7990000000000004</v>
      </c>
      <c r="J50" s="103">
        <v>12.975</v>
      </c>
      <c r="K50" s="69">
        <v>14.118</v>
      </c>
      <c r="L50" s="69">
        <v>4.1669999999999998</v>
      </c>
      <c r="M50" s="69">
        <v>1.718</v>
      </c>
      <c r="N50" s="69">
        <v>3.8109999999999999</v>
      </c>
      <c r="O50" s="69">
        <v>1.2649999999999999</v>
      </c>
      <c r="P50" s="69">
        <v>3.1219999999999999</v>
      </c>
      <c r="Q50" s="85">
        <v>7.6609999999999996</v>
      </c>
      <c r="R50" s="84">
        <v>14.128</v>
      </c>
      <c r="S50" s="70">
        <v>15.422000000000001</v>
      </c>
      <c r="T50" s="72">
        <v>4.7080000000000002</v>
      </c>
      <c r="U50" s="72">
        <v>1.905</v>
      </c>
      <c r="V50" s="72">
        <v>4.3029999999999999</v>
      </c>
      <c r="W50" s="72">
        <v>1.399</v>
      </c>
      <c r="X50" s="69">
        <v>3.4860000000000002</v>
      </c>
      <c r="Y50" s="85">
        <v>8.4879999999999995</v>
      </c>
      <c r="Z50" s="100">
        <v>16.045000000000002</v>
      </c>
      <c r="AA50" s="100">
        <v>17.597999999999999</v>
      </c>
      <c r="AB50" s="100">
        <v>5.6470000000000002</v>
      </c>
      <c r="AC50" s="100">
        <v>2.2229999999999999</v>
      </c>
      <c r="AD50" s="100">
        <v>5.1559999999999997</v>
      </c>
      <c r="AE50" s="100">
        <v>1.6259999999999999</v>
      </c>
      <c r="AF50" s="100">
        <v>4.1100000000000003</v>
      </c>
      <c r="AG50" s="101">
        <v>9.891</v>
      </c>
      <c r="AH50" s="105">
        <f t="shared" si="11"/>
        <v>16.045000000000002</v>
      </c>
      <c r="AI50" s="106">
        <f t="shared" si="12"/>
        <v>17.597999999999999</v>
      </c>
      <c r="AJ50" s="106">
        <f t="shared" si="13"/>
        <v>5.6470000000000002</v>
      </c>
      <c r="AK50" s="106">
        <f t="shared" si="14"/>
        <v>2.2229999999999999</v>
      </c>
      <c r="AL50" s="106">
        <f t="shared" si="15"/>
        <v>5.1559999999999997</v>
      </c>
      <c r="AM50" s="106">
        <f t="shared" si="16"/>
        <v>1.6259999999999999</v>
      </c>
      <c r="AN50" s="106">
        <f t="shared" si="17"/>
        <v>4.1100000000000003</v>
      </c>
      <c r="AO50" s="107">
        <f t="shared" si="18"/>
        <v>9.891</v>
      </c>
    </row>
    <row r="51" spans="1:41" x14ac:dyDescent="0.2">
      <c r="A51" s="75">
        <v>62</v>
      </c>
      <c r="B51" s="57">
        <v>12.146000000000001</v>
      </c>
      <c r="C51" s="57">
        <v>13.159000000000001</v>
      </c>
      <c r="D51" s="97">
        <v>3.64</v>
      </c>
      <c r="E51" s="97">
        <v>1.5189999999999999</v>
      </c>
      <c r="F51" s="97">
        <v>3.3239999999999998</v>
      </c>
      <c r="G51" s="97">
        <v>1.1080000000000001</v>
      </c>
      <c r="H51" s="97">
        <v>2.8380000000000001</v>
      </c>
      <c r="I51" s="97">
        <v>7.0220000000000002</v>
      </c>
      <c r="J51" s="84">
        <v>13.329000000000001</v>
      </c>
      <c r="K51" s="70">
        <v>14.493</v>
      </c>
      <c r="L51" s="70">
        <v>4.1779999999999999</v>
      </c>
      <c r="M51" s="70">
        <v>1.7070000000000001</v>
      </c>
      <c r="N51" s="70">
        <v>3.8130000000000002</v>
      </c>
      <c r="O51" s="70">
        <v>1.242</v>
      </c>
      <c r="P51" s="70">
        <v>3.2069999999999999</v>
      </c>
      <c r="Q51" s="104">
        <v>7.8639999999999999</v>
      </c>
      <c r="R51" s="84">
        <v>14.439</v>
      </c>
      <c r="S51" s="70">
        <v>15.749000000000001</v>
      </c>
      <c r="T51" s="72">
        <v>4.7030000000000003</v>
      </c>
      <c r="U51" s="72">
        <v>1.8859999999999999</v>
      </c>
      <c r="V51" s="72">
        <v>4.2889999999999997</v>
      </c>
      <c r="W51" s="72">
        <v>1.369</v>
      </c>
      <c r="X51" s="69">
        <v>3.5630000000000002</v>
      </c>
      <c r="Y51" s="85">
        <v>8.6679999999999993</v>
      </c>
      <c r="Z51" s="100">
        <v>16.274000000000001</v>
      </c>
      <c r="AA51" s="100">
        <v>17.835999999999999</v>
      </c>
      <c r="AB51" s="100">
        <v>5.6070000000000002</v>
      </c>
      <c r="AC51" s="100">
        <v>2.1890000000000001</v>
      </c>
      <c r="AD51" s="100">
        <v>5.1100000000000003</v>
      </c>
      <c r="AE51" s="100">
        <v>1.5840000000000001</v>
      </c>
      <c r="AF51" s="100">
        <v>4.1680000000000001</v>
      </c>
      <c r="AG51" s="101">
        <v>10.025</v>
      </c>
      <c r="AH51" s="105">
        <f t="shared" si="11"/>
        <v>16.274000000000001</v>
      </c>
      <c r="AI51" s="106">
        <f t="shared" si="12"/>
        <v>17.835999999999999</v>
      </c>
      <c r="AJ51" s="106">
        <f t="shared" si="13"/>
        <v>5.6070000000000002</v>
      </c>
      <c r="AK51" s="106">
        <f t="shared" si="14"/>
        <v>2.1890000000000001</v>
      </c>
      <c r="AL51" s="106">
        <f t="shared" si="15"/>
        <v>5.1100000000000003</v>
      </c>
      <c r="AM51" s="106">
        <f t="shared" si="16"/>
        <v>1.5840000000000001</v>
      </c>
      <c r="AN51" s="106">
        <f t="shared" si="17"/>
        <v>4.1680000000000001</v>
      </c>
      <c r="AO51" s="107">
        <f t="shared" si="18"/>
        <v>10.025</v>
      </c>
    </row>
    <row r="52" spans="1:41" x14ac:dyDescent="0.2">
      <c r="A52" s="76">
        <v>63</v>
      </c>
      <c r="B52" s="57">
        <v>12.561999999999999</v>
      </c>
      <c r="C52" s="57">
        <v>13.596</v>
      </c>
      <c r="D52" s="98">
        <v>3.6629999999999998</v>
      </c>
      <c r="E52" s="98">
        <v>1.514</v>
      </c>
      <c r="F52" s="98">
        <v>3.3359999999999999</v>
      </c>
      <c r="G52" s="98">
        <v>1.091</v>
      </c>
      <c r="H52" s="98">
        <v>2.9350000000000001</v>
      </c>
      <c r="I52" s="98">
        <v>7.2549999999999999</v>
      </c>
      <c r="J52" s="103">
        <v>13.701000000000001</v>
      </c>
      <c r="K52" s="69">
        <v>14.882</v>
      </c>
      <c r="L52" s="69">
        <v>4.1849999999999996</v>
      </c>
      <c r="M52" s="69">
        <v>1.6950000000000001</v>
      </c>
      <c r="N52" s="69">
        <v>3.8090000000000002</v>
      </c>
      <c r="O52" s="69">
        <v>1.2170000000000001</v>
      </c>
      <c r="P52" s="69">
        <v>3.2970000000000002</v>
      </c>
      <c r="Q52" s="85">
        <v>8.0749999999999993</v>
      </c>
      <c r="R52" s="84">
        <v>14.766</v>
      </c>
      <c r="S52" s="70">
        <v>16.088999999999999</v>
      </c>
      <c r="T52" s="72">
        <v>4.6920000000000002</v>
      </c>
      <c r="U52" s="72">
        <v>1.8660000000000001</v>
      </c>
      <c r="V52" s="72">
        <v>4.2679999999999998</v>
      </c>
      <c r="W52" s="72">
        <v>1.3380000000000001</v>
      </c>
      <c r="X52" s="69">
        <v>3.6429999999999998</v>
      </c>
      <c r="Y52" s="85">
        <v>8.8550000000000004</v>
      </c>
      <c r="Z52" s="100">
        <v>16.516999999999999</v>
      </c>
      <c r="AA52" s="100">
        <v>18.084</v>
      </c>
      <c r="AB52" s="100">
        <v>5.5609999999999999</v>
      </c>
      <c r="AC52" s="100">
        <v>2.1539999999999999</v>
      </c>
      <c r="AD52" s="100">
        <v>5.0570000000000004</v>
      </c>
      <c r="AE52" s="100">
        <v>1.54</v>
      </c>
      <c r="AF52" s="100">
        <v>4.2309999999999999</v>
      </c>
      <c r="AG52" s="101">
        <v>10.164999999999999</v>
      </c>
      <c r="AH52" s="105">
        <f t="shared" si="11"/>
        <v>16.516999999999999</v>
      </c>
      <c r="AI52" s="106">
        <f t="shared" si="12"/>
        <v>18.084</v>
      </c>
      <c r="AJ52" s="106">
        <f t="shared" si="13"/>
        <v>5.5609999999999999</v>
      </c>
      <c r="AK52" s="106">
        <f t="shared" si="14"/>
        <v>2.1539999999999999</v>
      </c>
      <c r="AL52" s="106">
        <f t="shared" si="15"/>
        <v>5.0570000000000004</v>
      </c>
      <c r="AM52" s="106">
        <f t="shared" si="16"/>
        <v>1.54</v>
      </c>
      <c r="AN52" s="106">
        <f t="shared" si="17"/>
        <v>4.2309999999999999</v>
      </c>
      <c r="AO52" s="107">
        <f t="shared" si="18"/>
        <v>10.164999999999999</v>
      </c>
    </row>
    <row r="53" spans="1:41" x14ac:dyDescent="0.2">
      <c r="A53" s="75">
        <v>64</v>
      </c>
      <c r="B53" s="57">
        <v>13.000999999999999</v>
      </c>
      <c r="C53" s="57">
        <v>14.053000000000001</v>
      </c>
      <c r="D53" s="97">
        <v>3.68</v>
      </c>
      <c r="E53" s="97">
        <v>1.5089999999999999</v>
      </c>
      <c r="F53" s="97">
        <v>3.3420000000000001</v>
      </c>
      <c r="G53" s="97">
        <v>1.071</v>
      </c>
      <c r="H53" s="97">
        <v>3.0379999999999998</v>
      </c>
      <c r="I53" s="97">
        <v>7.4989999999999997</v>
      </c>
      <c r="J53" s="84">
        <v>14.093999999999999</v>
      </c>
      <c r="K53" s="70">
        <v>15.289</v>
      </c>
      <c r="L53" s="70">
        <v>4.1859999999999999</v>
      </c>
      <c r="M53" s="70">
        <v>1.681</v>
      </c>
      <c r="N53" s="70">
        <v>3.7989999999999999</v>
      </c>
      <c r="O53" s="70">
        <v>1.1910000000000001</v>
      </c>
      <c r="P53" s="70">
        <v>3.391</v>
      </c>
      <c r="Q53" s="104">
        <v>8.2959999999999994</v>
      </c>
      <c r="R53" s="84">
        <v>15.11</v>
      </c>
      <c r="S53" s="70">
        <v>16.443999999999999</v>
      </c>
      <c r="T53" s="72">
        <v>4.6740000000000004</v>
      </c>
      <c r="U53" s="72">
        <v>1.8440000000000001</v>
      </c>
      <c r="V53" s="72">
        <v>4.2409999999999997</v>
      </c>
      <c r="W53" s="72">
        <v>1.3049999999999999</v>
      </c>
      <c r="X53" s="69">
        <v>3.7280000000000002</v>
      </c>
      <c r="Y53" s="85">
        <v>9.0500000000000007</v>
      </c>
      <c r="Z53" s="100">
        <v>16.774999999999999</v>
      </c>
      <c r="AA53" s="100">
        <v>18.343</v>
      </c>
      <c r="AB53" s="100">
        <v>5.5090000000000003</v>
      </c>
      <c r="AC53" s="100">
        <v>2.117</v>
      </c>
      <c r="AD53" s="100">
        <v>4.9960000000000004</v>
      </c>
      <c r="AE53" s="100">
        <v>1.494</v>
      </c>
      <c r="AF53" s="100">
        <v>4.2969999999999997</v>
      </c>
      <c r="AG53" s="101">
        <v>10.31</v>
      </c>
      <c r="AH53" s="105">
        <f t="shared" si="11"/>
        <v>16.774999999999999</v>
      </c>
      <c r="AI53" s="106">
        <f t="shared" si="12"/>
        <v>18.343</v>
      </c>
      <c r="AJ53" s="106">
        <f t="shared" si="13"/>
        <v>5.5090000000000003</v>
      </c>
      <c r="AK53" s="106">
        <f t="shared" si="14"/>
        <v>2.117</v>
      </c>
      <c r="AL53" s="106">
        <f t="shared" si="15"/>
        <v>4.9960000000000004</v>
      </c>
      <c r="AM53" s="106">
        <f t="shared" si="16"/>
        <v>1.494</v>
      </c>
      <c r="AN53" s="106">
        <f t="shared" si="17"/>
        <v>4.2969999999999997</v>
      </c>
      <c r="AO53" s="107">
        <f t="shared" si="18"/>
        <v>10.31</v>
      </c>
    </row>
    <row r="54" spans="1:41" x14ac:dyDescent="0.2">
      <c r="A54" s="76">
        <v>65</v>
      </c>
      <c r="B54" s="57">
        <v>13.465</v>
      </c>
      <c r="C54" s="57">
        <v>14.532999999999999</v>
      </c>
      <c r="D54" s="98">
        <v>3.6920000000000002</v>
      </c>
      <c r="E54" s="98">
        <v>1.502</v>
      </c>
      <c r="F54" s="98">
        <v>3.3420000000000001</v>
      </c>
      <c r="G54" s="98">
        <v>1.0489999999999999</v>
      </c>
      <c r="H54" s="98">
        <v>3.1469999999999998</v>
      </c>
      <c r="I54" s="98">
        <v>7.7560000000000002</v>
      </c>
      <c r="J54" s="103">
        <v>14.507999999999999</v>
      </c>
      <c r="K54" s="69">
        <v>15.715</v>
      </c>
      <c r="L54" s="69">
        <v>4.181</v>
      </c>
      <c r="M54" s="69">
        <v>1.6659999999999999</v>
      </c>
      <c r="N54" s="69">
        <v>3.7829999999999999</v>
      </c>
      <c r="O54" s="69">
        <v>1.1619999999999999</v>
      </c>
      <c r="P54" s="69">
        <v>3.4910000000000001</v>
      </c>
      <c r="Q54" s="85">
        <v>8.5269999999999992</v>
      </c>
      <c r="R54" s="84">
        <v>15.474</v>
      </c>
      <c r="S54" s="70">
        <v>16.814</v>
      </c>
      <c r="T54" s="72">
        <v>4.6509999999999998</v>
      </c>
      <c r="U54" s="72">
        <v>1.821</v>
      </c>
      <c r="V54" s="72">
        <v>4.2069999999999999</v>
      </c>
      <c r="W54" s="72">
        <v>1.2689999999999999</v>
      </c>
      <c r="X54" s="69">
        <v>3.8180000000000001</v>
      </c>
      <c r="Y54" s="85">
        <v>9.2539999999999996</v>
      </c>
      <c r="Z54" s="100">
        <v>17.048999999999999</v>
      </c>
      <c r="AA54" s="100">
        <v>18.614999999999998</v>
      </c>
      <c r="AB54" s="100">
        <v>5.4489999999999998</v>
      </c>
      <c r="AC54" s="100">
        <v>2.0790000000000002</v>
      </c>
      <c r="AD54" s="100">
        <v>4.9279999999999999</v>
      </c>
      <c r="AE54" s="100">
        <v>1.4470000000000001</v>
      </c>
      <c r="AF54" s="100">
        <v>4.367</v>
      </c>
      <c r="AG54" s="101">
        <v>10.462999999999999</v>
      </c>
      <c r="AH54" s="105">
        <f t="shared" si="11"/>
        <v>17.048999999999999</v>
      </c>
      <c r="AI54" s="106">
        <f t="shared" si="12"/>
        <v>18.614999999999998</v>
      </c>
      <c r="AJ54" s="106">
        <f t="shared" si="13"/>
        <v>5.4489999999999998</v>
      </c>
      <c r="AK54" s="106">
        <f t="shared" si="14"/>
        <v>2.0790000000000002</v>
      </c>
      <c r="AL54" s="106">
        <f t="shared" si="15"/>
        <v>4.9279999999999999</v>
      </c>
      <c r="AM54" s="106">
        <f t="shared" si="16"/>
        <v>1.4470000000000001</v>
      </c>
      <c r="AN54" s="106">
        <f t="shared" si="17"/>
        <v>4.367</v>
      </c>
      <c r="AO54" s="107">
        <f t="shared" si="18"/>
        <v>10.462999999999999</v>
      </c>
    </row>
    <row r="55" spans="1:41" x14ac:dyDescent="0.2">
      <c r="A55" s="76">
        <v>66</v>
      </c>
      <c r="B55" s="57">
        <v>13.956</v>
      </c>
      <c r="C55" s="57">
        <v>15.037000000000001</v>
      </c>
      <c r="D55" s="98">
        <v>3.6989999999999998</v>
      </c>
      <c r="E55" s="98">
        <v>1.494</v>
      </c>
      <c r="F55" s="98">
        <v>3.3359999999999999</v>
      </c>
      <c r="G55" s="98">
        <v>1.026</v>
      </c>
      <c r="H55" s="98">
        <v>3.2610000000000001</v>
      </c>
      <c r="I55" s="98">
        <v>8.0239999999999991</v>
      </c>
      <c r="J55" s="86">
        <v>14.945</v>
      </c>
      <c r="K55" s="71">
        <v>16.158999999999999</v>
      </c>
      <c r="L55" s="71">
        <v>4.17</v>
      </c>
      <c r="M55" s="71">
        <v>1.651</v>
      </c>
      <c r="N55" s="71">
        <v>3.76</v>
      </c>
      <c r="O55" s="71">
        <v>1.1319999999999999</v>
      </c>
      <c r="P55" s="71">
        <v>3.5960000000000001</v>
      </c>
      <c r="Q55" s="87">
        <v>8.7680000000000007</v>
      </c>
      <c r="R55" s="86">
        <v>15.858000000000001</v>
      </c>
      <c r="S55" s="71">
        <v>17.201000000000001</v>
      </c>
      <c r="T55" s="71">
        <v>4.6210000000000004</v>
      </c>
      <c r="U55" s="71">
        <v>1.7969999999999999</v>
      </c>
      <c r="V55" s="71">
        <v>4.1660000000000004</v>
      </c>
      <c r="W55" s="71">
        <v>1.2330000000000001</v>
      </c>
      <c r="X55" s="71">
        <v>3.9129999999999998</v>
      </c>
      <c r="Y55" s="87">
        <v>9.4670000000000005</v>
      </c>
      <c r="Z55" s="41">
        <v>17.341000000000001</v>
      </c>
      <c r="AA55" s="41">
        <v>18.899999999999999</v>
      </c>
      <c r="AB55" s="41">
        <v>5.3840000000000003</v>
      </c>
      <c r="AC55" s="41">
        <v>2.04</v>
      </c>
      <c r="AD55" s="41">
        <v>4.8540000000000001</v>
      </c>
      <c r="AE55" s="41">
        <v>1.399</v>
      </c>
      <c r="AF55" s="41">
        <v>4.4420000000000002</v>
      </c>
      <c r="AG55" s="90">
        <v>10.622999999999999</v>
      </c>
      <c r="AH55" s="105">
        <f t="shared" si="11"/>
        <v>17.341000000000001</v>
      </c>
      <c r="AI55" s="106">
        <f t="shared" si="12"/>
        <v>18.899999999999999</v>
      </c>
      <c r="AJ55" s="106">
        <f t="shared" si="13"/>
        <v>5.3840000000000003</v>
      </c>
      <c r="AK55" s="106">
        <f t="shared" si="14"/>
        <v>2.04</v>
      </c>
      <c r="AL55" s="106">
        <f t="shared" si="15"/>
        <v>4.8540000000000001</v>
      </c>
      <c r="AM55" s="106">
        <f t="shared" si="16"/>
        <v>1.399</v>
      </c>
      <c r="AN55" s="106">
        <f t="shared" si="17"/>
        <v>4.4420000000000002</v>
      </c>
      <c r="AO55" s="107">
        <f t="shared" si="18"/>
        <v>10.622999999999999</v>
      </c>
    </row>
    <row r="56" spans="1:41" x14ac:dyDescent="0.2">
      <c r="A56" s="76">
        <v>67</v>
      </c>
      <c r="B56" s="57">
        <v>14.478999999999999</v>
      </c>
      <c r="C56" s="57">
        <v>15.565</v>
      </c>
      <c r="D56" s="99">
        <v>3.6920000000000002</v>
      </c>
      <c r="E56" s="99">
        <v>1.472</v>
      </c>
      <c r="F56" s="99">
        <v>3.3220000000000001</v>
      </c>
      <c r="G56" s="99">
        <v>1.0009999999999999</v>
      </c>
      <c r="H56" s="99">
        <v>3.383</v>
      </c>
      <c r="I56" s="99">
        <v>8.3059999999999992</v>
      </c>
      <c r="J56" s="88">
        <v>15.409000000000001</v>
      </c>
      <c r="K56" s="73">
        <v>16.625</v>
      </c>
      <c r="L56" s="73">
        <v>4.1440000000000001</v>
      </c>
      <c r="M56" s="73">
        <v>1.619</v>
      </c>
      <c r="N56" s="73">
        <v>3.7290000000000001</v>
      </c>
      <c r="O56" s="73">
        <v>1.101</v>
      </c>
      <c r="P56" s="73">
        <v>3.7080000000000002</v>
      </c>
      <c r="Q56" s="89">
        <v>9.0210000000000008</v>
      </c>
      <c r="R56" s="88">
        <v>16.265999999999998</v>
      </c>
      <c r="S56" s="73">
        <v>17.605</v>
      </c>
      <c r="T56" s="73">
        <v>4.5750000000000002</v>
      </c>
      <c r="U56" s="73">
        <v>1.7569999999999999</v>
      </c>
      <c r="V56" s="73">
        <v>4.117</v>
      </c>
      <c r="W56" s="73">
        <v>1.1950000000000001</v>
      </c>
      <c r="X56" s="73">
        <v>4.0140000000000002</v>
      </c>
      <c r="Y56" s="89">
        <v>9.6890000000000001</v>
      </c>
      <c r="Z56" s="91">
        <v>17.654</v>
      </c>
      <c r="AA56" s="91">
        <v>19.198</v>
      </c>
      <c r="AB56" s="91">
        <v>5.3010000000000002</v>
      </c>
      <c r="AC56" s="91">
        <v>1.984</v>
      </c>
      <c r="AD56" s="91">
        <v>4.7709999999999999</v>
      </c>
      <c r="AE56" s="91">
        <v>1.349</v>
      </c>
      <c r="AF56" s="91">
        <v>4.5220000000000002</v>
      </c>
      <c r="AG56" s="92">
        <v>10.791</v>
      </c>
      <c r="AH56" s="108">
        <f t="shared" si="11"/>
        <v>17.654</v>
      </c>
      <c r="AI56" s="109">
        <f t="shared" si="12"/>
        <v>19.198</v>
      </c>
      <c r="AJ56" s="109">
        <f t="shared" si="13"/>
        <v>5.3010000000000002</v>
      </c>
      <c r="AK56" s="109">
        <f t="shared" si="14"/>
        <v>1.984</v>
      </c>
      <c r="AL56" s="109">
        <f t="shared" si="15"/>
        <v>4.7709999999999999</v>
      </c>
      <c r="AM56" s="109">
        <f t="shared" si="16"/>
        <v>1.349</v>
      </c>
      <c r="AN56" s="109">
        <f t="shared" si="17"/>
        <v>4.5220000000000002</v>
      </c>
      <c r="AO56" s="110">
        <f t="shared" si="18"/>
        <v>10.791</v>
      </c>
    </row>
    <row r="57" spans="1:41" x14ac:dyDescent="0.2">
      <c r="L57" s="102"/>
      <c r="M57" s="102"/>
    </row>
    <row r="58" spans="1:41" x14ac:dyDescent="0.2">
      <c r="L58" s="102"/>
      <c r="M58" s="102"/>
    </row>
    <row r="59" spans="1:41" x14ac:dyDescent="0.2">
      <c r="L59" s="102"/>
      <c r="M59" s="102"/>
    </row>
    <row r="60" spans="1:41" x14ac:dyDescent="0.2">
      <c r="L60" s="102"/>
      <c r="M60" s="102"/>
    </row>
    <row r="61" spans="1:41" x14ac:dyDescent="0.2">
      <c r="L61" s="102"/>
      <c r="M61" s="102"/>
    </row>
    <row r="62" spans="1:41" x14ac:dyDescent="0.2">
      <c r="L62" s="102"/>
      <c r="M62" s="102"/>
    </row>
    <row r="63" spans="1:41" x14ac:dyDescent="0.2">
      <c r="L63" s="102"/>
      <c r="M63" s="102"/>
    </row>
    <row r="64" spans="1:41" x14ac:dyDescent="0.2">
      <c r="L64" s="102"/>
      <c r="M64" s="102"/>
    </row>
    <row r="65" spans="12:13" x14ac:dyDescent="0.2">
      <c r="L65" s="102"/>
      <c r="M65" s="102"/>
    </row>
    <row r="66" spans="12:13" x14ac:dyDescent="0.2">
      <c r="L66" s="102"/>
      <c r="M66" s="102"/>
    </row>
    <row r="67" spans="12:13" x14ac:dyDescent="0.2">
      <c r="L67" s="102"/>
      <c r="M67" s="102"/>
    </row>
    <row r="68" spans="12:13" x14ac:dyDescent="0.2">
      <c r="L68" s="102"/>
      <c r="M68" s="102"/>
    </row>
    <row r="69" spans="12:13" x14ac:dyDescent="0.2">
      <c r="L69" s="102"/>
      <c r="M69" s="102"/>
    </row>
    <row r="70" spans="12:13" x14ac:dyDescent="0.2">
      <c r="L70" s="102"/>
      <c r="M70" s="102"/>
    </row>
    <row r="71" spans="12:13" x14ac:dyDescent="0.2">
      <c r="L71" s="102"/>
      <c r="M71" s="102"/>
    </row>
    <row r="72" spans="12:13" x14ac:dyDescent="0.2">
      <c r="L72" s="102"/>
      <c r="M72" s="102"/>
    </row>
    <row r="73" spans="12:13" x14ac:dyDescent="0.2">
      <c r="L73" s="102"/>
      <c r="M73" s="102"/>
    </row>
    <row r="74" spans="12:13" x14ac:dyDescent="0.2">
      <c r="L74" s="102"/>
      <c r="M74" s="102"/>
    </row>
    <row r="75" spans="12:13" x14ac:dyDescent="0.2">
      <c r="L75" s="102"/>
      <c r="M75" s="102"/>
    </row>
    <row r="76" spans="12:13" x14ac:dyDescent="0.2">
      <c r="L76" s="102"/>
      <c r="M76" s="102"/>
    </row>
    <row r="77" spans="12:13" x14ac:dyDescent="0.2">
      <c r="L77" s="102"/>
      <c r="M77" s="102"/>
    </row>
    <row r="78" spans="12:13" x14ac:dyDescent="0.2">
      <c r="L78" s="102"/>
      <c r="M78" s="102"/>
    </row>
    <row r="79" spans="12:13" x14ac:dyDescent="0.2">
      <c r="L79" s="102"/>
      <c r="M79" s="102"/>
    </row>
    <row r="80" spans="12:13" x14ac:dyDescent="0.2">
      <c r="L80" s="102"/>
      <c r="M80" s="102"/>
    </row>
    <row r="81" spans="12:13" x14ac:dyDescent="0.2">
      <c r="L81" s="102"/>
      <c r="M81" s="102"/>
    </row>
    <row r="82" spans="12:13" x14ac:dyDescent="0.2">
      <c r="L82" s="102"/>
      <c r="M82" s="102"/>
    </row>
    <row r="83" spans="12:13" x14ac:dyDescent="0.2">
      <c r="L83" s="102"/>
      <c r="M83" s="102"/>
    </row>
    <row r="84" spans="12:13" x14ac:dyDescent="0.2">
      <c r="L84" s="102"/>
      <c r="M84" s="102"/>
    </row>
    <row r="85" spans="12:13" x14ac:dyDescent="0.2">
      <c r="L85" s="102"/>
      <c r="M85" s="102"/>
    </row>
    <row r="86" spans="12:13" x14ac:dyDescent="0.2">
      <c r="L86" s="102"/>
      <c r="M86" s="102"/>
    </row>
    <row r="87" spans="12:13" x14ac:dyDescent="0.2">
      <c r="L87" s="102"/>
      <c r="M87" s="102"/>
    </row>
    <row r="88" spans="12:13" x14ac:dyDescent="0.2">
      <c r="L88" s="102"/>
      <c r="M88" s="102"/>
    </row>
    <row r="89" spans="12:13" x14ac:dyDescent="0.2">
      <c r="L89" s="102"/>
      <c r="M89" s="102"/>
    </row>
  </sheetData>
  <mergeCells count="5">
    <mergeCell ref="J2:Q2"/>
    <mergeCell ref="Z2:AG2"/>
    <mergeCell ref="R2:Y2"/>
    <mergeCell ref="B2:I2"/>
    <mergeCell ref="AH2:AO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8"/>
  <sheetViews>
    <sheetView workbookViewId="0">
      <selection activeCell="B2" sqref="B2"/>
    </sheetView>
  </sheetViews>
  <sheetFormatPr defaultRowHeight="12.75" x14ac:dyDescent="0.2"/>
  <cols>
    <col min="1" max="1" width="47.85546875" bestFit="1" customWidth="1"/>
    <col min="2" max="2" width="10.140625" bestFit="1" customWidth="1"/>
  </cols>
  <sheetData>
    <row r="1" spans="1:2" x14ac:dyDescent="0.2">
      <c r="B1" t="s">
        <v>25</v>
      </c>
    </row>
    <row r="2" spans="1:2" x14ac:dyDescent="0.2">
      <c r="A2" t="s">
        <v>2</v>
      </c>
      <c r="B2" s="2">
        <f>+KPN55min!C7</f>
        <v>42867</v>
      </c>
    </row>
    <row r="3" spans="1:2" x14ac:dyDescent="0.2">
      <c r="A3" t="s">
        <v>7</v>
      </c>
      <c r="B3" s="2">
        <f>+KPN55min!C8</f>
        <v>42867</v>
      </c>
    </row>
    <row r="4" spans="1:2" x14ac:dyDescent="0.2">
      <c r="A4" t="s">
        <v>16</v>
      </c>
      <c r="B4" s="15">
        <v>30</v>
      </c>
    </row>
    <row r="5" spans="1:2" x14ac:dyDescent="0.2">
      <c r="A5" t="s">
        <v>17</v>
      </c>
      <c r="B5" s="15"/>
    </row>
    <row r="6" spans="1:2" x14ac:dyDescent="0.2">
      <c r="A6" t="s">
        <v>18</v>
      </c>
      <c r="B6" s="15">
        <f>((YEAR(B3)-YEAR(B2))*12+MONTH(B3)-1-MONTH(B2))*30</f>
        <v>-30</v>
      </c>
    </row>
    <row r="7" spans="1:2" x14ac:dyDescent="0.2">
      <c r="A7" t="s">
        <v>26</v>
      </c>
      <c r="B7" s="15">
        <f>SUM(B4:B6)</f>
        <v>0</v>
      </c>
    </row>
    <row r="8" spans="1:2" x14ac:dyDescent="0.2">
      <c r="A8" t="s">
        <v>27</v>
      </c>
      <c r="B8" s="15">
        <f>ROUND(B7/30,0)</f>
        <v>0</v>
      </c>
    </row>
  </sheetData>
  <phoneticPr fontId="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2:E20"/>
  <sheetViews>
    <sheetView workbookViewId="0">
      <selection activeCell="B20" sqref="B20"/>
    </sheetView>
  </sheetViews>
  <sheetFormatPr defaultRowHeight="12.75" x14ac:dyDescent="0.2"/>
  <sheetData>
    <row r="2" spans="1:5" x14ac:dyDescent="0.2">
      <c r="A2" s="6" t="s">
        <v>63</v>
      </c>
      <c r="B2" s="6"/>
      <c r="C2" s="6"/>
    </row>
    <row r="3" spans="1:5" x14ac:dyDescent="0.2">
      <c r="A3" s="6" t="s">
        <v>39</v>
      </c>
      <c r="B3" s="6" t="s">
        <v>58</v>
      </c>
      <c r="C3" s="6"/>
    </row>
    <row r="4" spans="1:5" x14ac:dyDescent="0.2">
      <c r="A4" s="22" t="s">
        <v>33</v>
      </c>
      <c r="B4" s="22" t="s">
        <v>59</v>
      </c>
    </row>
    <row r="5" spans="1:5" x14ac:dyDescent="0.2">
      <c r="A5" s="22" t="s">
        <v>34</v>
      </c>
      <c r="B5" s="22" t="s">
        <v>60</v>
      </c>
    </row>
    <row r="6" spans="1:5" x14ac:dyDescent="0.2">
      <c r="A6" s="22"/>
      <c r="B6" s="22"/>
    </row>
    <row r="7" spans="1:5" x14ac:dyDescent="0.2">
      <c r="A7" s="22" t="s">
        <v>46</v>
      </c>
      <c r="B7" s="22"/>
    </row>
    <row r="8" spans="1:5" x14ac:dyDescent="0.2">
      <c r="A8" s="22"/>
      <c r="B8" s="22"/>
    </row>
    <row r="9" spans="1:5" x14ac:dyDescent="0.2">
      <c r="A9" s="49" t="s">
        <v>40</v>
      </c>
      <c r="B9" s="35"/>
      <c r="C9" s="36"/>
      <c r="D9" s="36"/>
      <c r="E9" s="36"/>
    </row>
    <row r="10" spans="1:5" x14ac:dyDescent="0.2">
      <c r="A10" s="22"/>
      <c r="B10" s="22"/>
    </row>
    <row r="11" spans="1:5" x14ac:dyDescent="0.2">
      <c r="A11">
        <v>1</v>
      </c>
      <c r="B11" s="22" t="s">
        <v>45</v>
      </c>
    </row>
    <row r="12" spans="1:5" x14ac:dyDescent="0.2">
      <c r="A12">
        <v>2</v>
      </c>
      <c r="B12" s="22" t="s">
        <v>61</v>
      </c>
    </row>
    <row r="13" spans="1:5" x14ac:dyDescent="0.2">
      <c r="A13">
        <v>3</v>
      </c>
      <c r="B13" s="22"/>
    </row>
    <row r="14" spans="1:5" x14ac:dyDescent="0.2">
      <c r="A14">
        <v>4</v>
      </c>
      <c r="B14" s="22" t="s">
        <v>47</v>
      </c>
    </row>
    <row r="15" spans="1:5" x14ac:dyDescent="0.2">
      <c r="A15" s="22">
        <v>5</v>
      </c>
    </row>
    <row r="16" spans="1:5" x14ac:dyDescent="0.2">
      <c r="A16" s="22"/>
    </row>
    <row r="17" spans="1:2" x14ac:dyDescent="0.2">
      <c r="A17" s="6" t="s">
        <v>39</v>
      </c>
      <c r="B17" s="6" t="s">
        <v>78</v>
      </c>
    </row>
    <row r="18" spans="1:2" x14ac:dyDescent="0.2">
      <c r="A18" s="22"/>
      <c r="B18" s="22" t="s">
        <v>79</v>
      </c>
    </row>
    <row r="19" spans="1:2" x14ac:dyDescent="0.2">
      <c r="A19" s="22"/>
      <c r="B19" s="22" t="s">
        <v>80</v>
      </c>
    </row>
    <row r="20" spans="1:2" x14ac:dyDescent="0.2">
      <c r="A20" s="22"/>
      <c r="B20" s="22"/>
    </row>
  </sheetData>
  <phoneticPr fontId="0" type="noConversion"/>
  <pageMargins left="0.45" right="0.28000000000000003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Invoer</vt:lpstr>
      <vt:lpstr>KPN55min</vt:lpstr>
      <vt:lpstr>Factoren</vt:lpstr>
      <vt:lpstr>rentevergoeding</vt:lpstr>
      <vt:lpstr>toelichting</vt:lpstr>
      <vt:lpstr>Factoren</vt:lpstr>
      <vt:lpstr>gesl</vt:lpstr>
      <vt:lpstr>invoer</vt:lpstr>
      <vt:lpstr>invoernr</vt:lpstr>
      <vt:lpstr>rekdat</vt:lpstr>
      <vt:lpstr>rente</vt:lpstr>
      <vt:lpstr>tabtarief</vt:lpstr>
    </vt:vector>
  </TitlesOfParts>
  <Company>TPG KPN Pensioen BV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Besluit reken- en procedureregels recht op waardeoverdracht</dc:title>
  <dc:creator>Boerrigter</dc:creator>
  <cp:lastModifiedBy>Kooi, Peter van der</cp:lastModifiedBy>
  <cp:lastPrinted>2013-03-01T13:05:41Z</cp:lastPrinted>
  <dcterms:created xsi:type="dcterms:W3CDTF">2002-06-13T07:36:42Z</dcterms:created>
  <dcterms:modified xsi:type="dcterms:W3CDTF">2017-09-01T14:26:43Z</dcterms:modified>
</cp:coreProperties>
</file>